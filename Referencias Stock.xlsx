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\Desktop\Proyecto Control Piso OPP\"/>
    </mc:Choice>
  </mc:AlternateContent>
  <xr:revisionPtr revIDLastSave="0" documentId="13_ncr:1_{E53B7958-238B-43E8-AAB6-2DBDD4C9858F}" xr6:coauthVersionLast="47" xr6:coauthVersionMax="47" xr10:uidLastSave="{00000000-0000-0000-0000-000000000000}"/>
  <bookViews>
    <workbookView xWindow="-20610" yWindow="2805" windowWidth="20730" windowHeight="11040" xr2:uid="{7BC23157-C66A-45FB-8FF1-16C09E4E4AAB}"/>
  </bookViews>
  <sheets>
    <sheet name="Referencias Stock" sheetId="1" r:id="rId1"/>
  </sheets>
  <definedNames>
    <definedName name="_xlnm._FilterDatabase" localSheetId="0" hidden="1">'Referencias Stock'!$A$1:$G$93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0" i="1" l="1"/>
  <c r="K91" i="1"/>
  <c r="K92" i="1"/>
  <c r="K93" i="1"/>
  <c r="K94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6" i="1"/>
  <c r="K76" i="1"/>
  <c r="L75" i="1"/>
  <c r="K75" i="1"/>
  <c r="L74" i="1"/>
  <c r="K74" i="1"/>
  <c r="L70" i="1"/>
  <c r="K70" i="1"/>
  <c r="L69" i="1"/>
  <c r="K69" i="1"/>
  <c r="L68" i="1"/>
  <c r="K68" i="1"/>
  <c r="L64" i="1"/>
  <c r="K64" i="1"/>
  <c r="L63" i="1"/>
  <c r="K63" i="1"/>
  <c r="L58" i="1"/>
  <c r="K58" i="1"/>
  <c r="L57" i="1"/>
  <c r="K57" i="1"/>
  <c r="L56" i="1"/>
  <c r="K56" i="1"/>
  <c r="L62" i="1"/>
  <c r="L79" i="1"/>
  <c r="L78" i="1"/>
  <c r="L77" i="1"/>
  <c r="L73" i="1"/>
  <c r="L72" i="1"/>
  <c r="L71" i="1"/>
  <c r="L67" i="1"/>
  <c r="L66" i="1"/>
  <c r="L65" i="1"/>
  <c r="L61" i="1"/>
  <c r="L60" i="1"/>
  <c r="L59" i="1"/>
  <c r="L55" i="1"/>
  <c r="L54" i="1"/>
  <c r="L53" i="1"/>
  <c r="K62" i="1"/>
  <c r="K79" i="1"/>
  <c r="K78" i="1"/>
  <c r="K77" i="1"/>
  <c r="K73" i="1"/>
  <c r="K72" i="1"/>
  <c r="K71" i="1"/>
  <c r="K67" i="1"/>
  <c r="K66" i="1"/>
  <c r="K65" i="1"/>
  <c r="K61" i="1"/>
  <c r="K60" i="1"/>
  <c r="K59" i="1"/>
  <c r="K55" i="1"/>
  <c r="K54" i="1"/>
  <c r="K53" i="1"/>
  <c r="L22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<sst xmlns="http://schemas.openxmlformats.org/spreadsheetml/2006/main" count="876" uniqueCount="159">
  <si>
    <t>UNI</t>
  </si>
  <si>
    <t>STD</t>
  </si>
  <si>
    <t>ROVERE</t>
  </si>
  <si>
    <t>MARCO MELAMINA 8x240cm C45(24mm)</t>
  </si>
  <si>
    <t>MAMLEN59840</t>
  </si>
  <si>
    <t>NACAR</t>
  </si>
  <si>
    <t>GALES</t>
  </si>
  <si>
    <t>BELLOTA</t>
  </si>
  <si>
    <t>ARTIKO</t>
  </si>
  <si>
    <t>PUERTA AJUSTABLE 90x235cm</t>
  </si>
  <si>
    <t>PUMNMS42090</t>
  </si>
  <si>
    <t>PUERTA AJUSTABLE 80x235cm</t>
  </si>
  <si>
    <t>PUMNMS42080</t>
  </si>
  <si>
    <t>PUERTA AJUSTABLE 70x235cm</t>
  </si>
  <si>
    <t>PUMNMS42070</t>
  </si>
  <si>
    <t>PUERTA AJUSTABLE  90x210cm</t>
  </si>
  <si>
    <t>PUMNM042290</t>
  </si>
  <si>
    <t>PUERTA AJUSTABLE  80x210cm</t>
  </si>
  <si>
    <t>PUMNM042280</t>
  </si>
  <si>
    <t>PUERTA AJUSTABLE  70x210cm</t>
  </si>
  <si>
    <t>PUMNM042270</t>
  </si>
  <si>
    <t>PUERTA AJUSTABLE  90x225cm</t>
  </si>
  <si>
    <t>PUMNM042090</t>
  </si>
  <si>
    <t>PUERTA AJUSTABLE  80x225cm</t>
  </si>
  <si>
    <t>PUMNM042080</t>
  </si>
  <si>
    <t>PUERTA AJUSTABLE  70x225cm</t>
  </si>
  <si>
    <t>PUMNM042070</t>
  </si>
  <si>
    <t>HUMO</t>
  </si>
  <si>
    <t>PUFTMS38090</t>
  </si>
  <si>
    <t>PUFTMS38080</t>
  </si>
  <si>
    <t>PUFTMS38070</t>
  </si>
  <si>
    <t>HUMO RUS</t>
  </si>
  <si>
    <t>PUERTA AJUSTABLE 90x210cm</t>
  </si>
  <si>
    <t>PUFTM038290</t>
  </si>
  <si>
    <t>PUERTA AJUSTABLE 80x210cm</t>
  </si>
  <si>
    <t>PUFTM038280</t>
  </si>
  <si>
    <t>PUERTA AJUSTABLE 70x210cm</t>
  </si>
  <si>
    <t>PUFTM038270</t>
  </si>
  <si>
    <t>PUERTA AJUSTABLE 90x225cm</t>
  </si>
  <si>
    <t>PUFTM038090</t>
  </si>
  <si>
    <t>PUERTA AJUSTABLE 80x225cm</t>
  </si>
  <si>
    <t>PUFTM038080</t>
  </si>
  <si>
    <t>PUERTA AJUSTABLE 70x225cm</t>
  </si>
  <si>
    <t>PUFTM038070</t>
  </si>
  <si>
    <t>CRUDA</t>
  </si>
  <si>
    <t>PUTK0290</t>
  </si>
  <si>
    <t>PUTK0285</t>
  </si>
  <si>
    <t>PUTK0280</t>
  </si>
  <si>
    <t>PUTK0275</t>
  </si>
  <si>
    <t>PUTK0270</t>
  </si>
  <si>
    <t>PUTK0265</t>
  </si>
  <si>
    <t>PUTK0260</t>
  </si>
  <si>
    <t>PREPINTAD</t>
  </si>
  <si>
    <t>PUMP0290</t>
  </si>
  <si>
    <t>PUMP0285</t>
  </si>
  <si>
    <t>PUMP0280</t>
  </si>
  <si>
    <t>PUMP0275</t>
  </si>
  <si>
    <t>PUMP0270</t>
  </si>
  <si>
    <t>PUMP0265</t>
  </si>
  <si>
    <t>PUMP0260</t>
  </si>
  <si>
    <t>PUMS0290</t>
  </si>
  <si>
    <t>PUMS0285</t>
  </si>
  <si>
    <t>PUMS0280</t>
  </si>
  <si>
    <t>PUMS0275</t>
  </si>
  <si>
    <t>PUMS0270</t>
  </si>
  <si>
    <t>PUMS0265</t>
  </si>
  <si>
    <t>PUMS0260</t>
  </si>
  <si>
    <t>G. PLATA</t>
  </si>
  <si>
    <t>PUDT0290</t>
  </si>
  <si>
    <t>PUDT0285</t>
  </si>
  <si>
    <t>PUDT0280</t>
  </si>
  <si>
    <t>PUDT0275</t>
  </si>
  <si>
    <t>PUDT0270</t>
  </si>
  <si>
    <t>PUDT0265</t>
  </si>
  <si>
    <t>PUDT0260</t>
  </si>
  <si>
    <t>WENGUE CL</t>
  </si>
  <si>
    <t>CEDRO SIL</t>
  </si>
  <si>
    <t>Unidaddemedida</t>
  </si>
  <si>
    <t>Medida</t>
  </si>
  <si>
    <t>Color</t>
  </si>
  <si>
    <t>Descripcion</t>
  </si>
  <si>
    <t>Referencia</t>
  </si>
  <si>
    <t>Ref 1</t>
  </si>
  <si>
    <t>Ref 2</t>
  </si>
  <si>
    <t>STOCK</t>
  </si>
  <si>
    <t>E</t>
  </si>
  <si>
    <t>A</t>
  </si>
  <si>
    <t>Notas Ref 2</t>
  </si>
  <si>
    <t>Notas Ref 1</t>
  </si>
  <si>
    <t>TODAS VAN A 2 MTS DE ALTURA, CEDRO SIL, PASAR A EMPAQUE</t>
  </si>
  <si>
    <t>TODAS VAN A 2 MTS DE ALTURA, WENGUE CL, PASAR A EMPAQUE</t>
  </si>
  <si>
    <t>TODAS VAN A 2 MTS DE ALTURA, G. PLATA, PASAR A EMPAQUE</t>
  </si>
  <si>
    <t>M</t>
  </si>
  <si>
    <t>TODAS VAN A 2 MTS DE ALTURA, MASONITE</t>
  </si>
  <si>
    <t>TODAS VAN A 2 MTS DE ALTURA, TX OKUME</t>
  </si>
  <si>
    <t>PUERTA DEKO 60x200 cm</t>
  </si>
  <si>
    <t>PUERTA DEKO 65x200 cm</t>
  </si>
  <si>
    <t>PUERTA DEKO 70x200 cm</t>
  </si>
  <si>
    <t>PUERTA DEKO 75x200 cm</t>
  </si>
  <si>
    <t>PUERTA DEKO 80x200 cm</t>
  </si>
  <si>
    <t>PUERTA DEKO 85x200 cm</t>
  </si>
  <si>
    <t>PUERTA DEKO 90x200 cm</t>
  </si>
  <si>
    <t>PUERTA SINFONIA 60x200</t>
  </si>
  <si>
    <t>PUERTA SINFONIA 65x200</t>
  </si>
  <si>
    <t>PUERTA SINFONIA 70x200</t>
  </si>
  <si>
    <t>PUERTA SINFONIA 75x200</t>
  </si>
  <si>
    <t>PUERTA SINFONIA 80x200</t>
  </si>
  <si>
    <t>PUERTA SINFONIA 85x200</t>
  </si>
  <si>
    <t>PUERTA SINFONIA 90x200</t>
  </si>
  <si>
    <t>PUERTA PRESTIGE 60x200</t>
  </si>
  <si>
    <t>PUERTA PRESTIGE 65x200</t>
  </si>
  <si>
    <t>PUERTA PRESTIGE 70x200</t>
  </si>
  <si>
    <t>PUERTA PRESTIGE 75x200</t>
  </si>
  <si>
    <t>PUERTA PRESTIGE 80x200</t>
  </si>
  <si>
    <t>PUERTA PRESTIGE 85x200</t>
  </si>
  <si>
    <t>PUERTA PRESTIGE 90x200</t>
  </si>
  <si>
    <t>PUERTA TX ECO OKUME 60x200</t>
  </si>
  <si>
    <t>PUERTA TX ECO OKUME 65x200</t>
  </si>
  <si>
    <t>PUERTA TX ECO OKUME 70x200</t>
  </si>
  <si>
    <t>PUERTA TX ECO OKUME 75x200</t>
  </si>
  <si>
    <t>PUERTA TX ECO OKUME 80x200</t>
  </si>
  <si>
    <t>PUERTA TX ECO OKUME 85x200</t>
  </si>
  <si>
    <t>PUERTA TX ECO OKUME 90x200</t>
  </si>
  <si>
    <t>PUDC0270</t>
  </si>
  <si>
    <t>PUDC0275</t>
  </si>
  <si>
    <t>PUDC0280</t>
  </si>
  <si>
    <t>PUDC0285</t>
  </si>
  <si>
    <t>PUDC0290</t>
  </si>
  <si>
    <t>020</t>
  </si>
  <si>
    <t>P1FTM038070</t>
  </si>
  <si>
    <t>P1FTM038080</t>
  </si>
  <si>
    <t>P1FTM038090</t>
  </si>
  <si>
    <t>P1FTM038270</t>
  </si>
  <si>
    <t>P1FTM038280</t>
  </si>
  <si>
    <t>P1FTM038290</t>
  </si>
  <si>
    <t>P1FTMS38070</t>
  </si>
  <si>
    <t>P1FTMS38080</t>
  </si>
  <si>
    <t>P1FTMS38090</t>
  </si>
  <si>
    <t>P1MNM042070</t>
  </si>
  <si>
    <t>P1MNM042080</t>
  </si>
  <si>
    <t>P1MNM042090</t>
  </si>
  <si>
    <t>P1MNM042270</t>
  </si>
  <si>
    <t>P1MNM042280</t>
  </si>
  <si>
    <t>P1MNM042290</t>
  </si>
  <si>
    <t>PUDC0260</t>
  </si>
  <si>
    <t>PUDC0265</t>
  </si>
  <si>
    <t>P1MNMS42070</t>
  </si>
  <si>
    <t>P1MNMS42080</t>
  </si>
  <si>
    <t>P1MNMS42090</t>
  </si>
  <si>
    <t>MARCOS STOCK</t>
  </si>
  <si>
    <t>Color #</t>
  </si>
  <si>
    <t>009</t>
  </si>
  <si>
    <t>TODAS VAN A 2.25 MTS DE ALTURA, HUMO RUS, ESPESOR DE 38 MM, PASAR A MAQUINADO</t>
  </si>
  <si>
    <t xml:space="preserve">TODAS VAN A 2.25 MTS DE ALTURA, HUMO RUS, ESPESOR 38 MM, ENCHAPADAS POR 4 LADOS, LISAS  </t>
  </si>
  <si>
    <t>TODAS VAN A 2.35 MTS DE ALTURA, HUMO, ESPESOR 38 MM, PASAR A MAQUINADO</t>
  </si>
  <si>
    <t xml:space="preserve">TODAS VAN A 2.35 MTS DE ALTURA, HUMO, ESPESOR 38 MM, ENCHAPADAS POR 4 LADOS, LISAS   </t>
  </si>
  <si>
    <t>MAMLEN09840</t>
  </si>
  <si>
    <t>MARCO MELAMINA 8x240cm C40(24mm)</t>
  </si>
  <si>
    <t>Referencia 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</si>
</sst>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C070-C414-4269-B8FD-32EC5633B4CD}">
  <dimension ref="A1:L94"/>
  <sheetViews>
    <sheetView tabSelected="1" workbookViewId="0">
      <selection activeCell="B4" sqref="B4"/>
    </sheetView>
  </sheetViews>
  <sheetFormatPr baseColWidth="10" defaultRowHeight="14.4" x14ac:dyDescent="0.3"/>
  <cols>
    <col min="1" max="1" width="14.21875" style="1" bestFit="1" customWidth="1"/>
    <col min="2" max="2" width="14.6640625" bestFit="1" customWidth="1"/>
    <col min="3" max="3" width="35.109375" style="1" bestFit="1" customWidth="1"/>
    <col min="4" max="4" width="11.109375" style="1" bestFit="1" customWidth="1"/>
    <col min="5" max="5" width="11.33203125" style="3" bestFit="1" customWidth="1"/>
    <col min="6" max="6" width="11.5546875" style="1" bestFit="1" customWidth="1"/>
    <col min="7" max="7" width="15.77734375" style="1" bestFit="1" customWidth="1"/>
    <col min="8" max="9" width="5.21875" bestFit="1" customWidth="1"/>
    <col min="10" max="10" width="14" bestFit="1" customWidth="1"/>
    <col min="11" max="11" width="77.5546875" bestFit="1" customWidth="1"/>
    <col min="12" max="12" width="85.21875" bestFit="1" customWidth="1"/>
  </cols>
  <sheetData>
    <row r="1" spans="1:12" s="2" customFormat="1" ht="29.4" customHeight="1" x14ac:dyDescent="0.3">
      <c r="A1" s="2" t="s">
        <v>81</v>
      </c>
      <c r="B1" s="5" t="s">
        <v>158</v>
      </c>
      <c r="C1" s="2" t="s">
        <v>80</v>
      </c>
      <c r="D1" s="2" t="s">
        <v>79</v>
      </c>
      <c r="E1" s="4" t="s">
        <v>150</v>
      </c>
      <c r="F1" s="2" t="s">
        <v>78</v>
      </c>
      <c r="G1" s="2" t="s">
        <v>77</v>
      </c>
      <c r="H1" s="2" t="s">
        <v>82</v>
      </c>
      <c r="I1" s="2" t="s">
        <v>83</v>
      </c>
      <c r="J1" s="2" t="s">
        <v>83</v>
      </c>
      <c r="K1" s="2" t="s">
        <v>88</v>
      </c>
      <c r="L1" s="2" t="s">
        <v>87</v>
      </c>
    </row>
    <row r="2" spans="1:12" x14ac:dyDescent="0.3">
      <c r="A2" s="1" t="s">
        <v>74</v>
      </c>
      <c r="B2" t="s">
        <v>144</v>
      </c>
      <c r="C2" s="1" t="s">
        <v>95</v>
      </c>
      <c r="D2" s="1" t="s">
        <v>76</v>
      </c>
      <c r="E2" s="3">
        <v>284</v>
      </c>
      <c r="F2" s="1" t="s">
        <v>1</v>
      </c>
      <c r="G2" s="1" t="s">
        <v>0</v>
      </c>
      <c r="H2" s="1" t="s">
        <v>86</v>
      </c>
      <c r="I2" s="1" t="s">
        <v>85</v>
      </c>
      <c r="J2" s="1" t="s">
        <v>84</v>
      </c>
      <c r="K2" t="s">
        <v>89</v>
      </c>
      <c r="L2" t="str">
        <f>"TODAS VAN A 2 MTS DE ALTURA, "&amp;D2&amp;", PASAR A CEDI"</f>
        <v>TODAS VAN A 2 MTS DE ALTURA, CEDRO SIL, PASAR A CEDI</v>
      </c>
    </row>
    <row r="3" spans="1:12" x14ac:dyDescent="0.3">
      <c r="A3" s="1" t="s">
        <v>73</v>
      </c>
      <c r="B3" t="s">
        <v>145</v>
      </c>
      <c r="C3" s="1" t="s">
        <v>96</v>
      </c>
      <c r="D3" s="1" t="s">
        <v>76</v>
      </c>
      <c r="E3" s="3">
        <v>284</v>
      </c>
      <c r="F3" s="1" t="s">
        <v>1</v>
      </c>
      <c r="G3" s="1" t="s">
        <v>0</v>
      </c>
      <c r="H3" s="1" t="s">
        <v>86</v>
      </c>
      <c r="I3" s="1" t="s">
        <v>85</v>
      </c>
      <c r="J3" s="1" t="s">
        <v>84</v>
      </c>
      <c r="K3" t="s">
        <v>89</v>
      </c>
      <c r="L3" t="str">
        <f t="shared" ref="L3:L22" si="0">"TODAS VAN A 2 MTS DE ALTURA, "&amp;D3&amp;", PASAR A CEDI"</f>
        <v>TODAS VAN A 2 MTS DE ALTURA, CEDRO SIL, PASAR A CEDI</v>
      </c>
    </row>
    <row r="4" spans="1:12" x14ac:dyDescent="0.3">
      <c r="A4" s="1" t="s">
        <v>72</v>
      </c>
      <c r="B4" t="s">
        <v>123</v>
      </c>
      <c r="C4" s="1" t="s">
        <v>97</v>
      </c>
      <c r="D4" s="1" t="s">
        <v>76</v>
      </c>
      <c r="E4" s="3">
        <v>284</v>
      </c>
      <c r="F4" s="1" t="s">
        <v>1</v>
      </c>
      <c r="G4" s="1" t="s">
        <v>0</v>
      </c>
      <c r="H4" s="1" t="s">
        <v>86</v>
      </c>
      <c r="I4" s="1" t="s">
        <v>85</v>
      </c>
      <c r="J4" s="1" t="s">
        <v>84</v>
      </c>
      <c r="K4" t="s">
        <v>89</v>
      </c>
      <c r="L4" t="str">
        <f t="shared" si="0"/>
        <v>TODAS VAN A 2 MTS DE ALTURA, CEDRO SIL, PASAR A CEDI</v>
      </c>
    </row>
    <row r="5" spans="1:12" x14ac:dyDescent="0.3">
      <c r="A5" s="1" t="s">
        <v>71</v>
      </c>
      <c r="B5" t="s">
        <v>124</v>
      </c>
      <c r="C5" s="1" t="s">
        <v>98</v>
      </c>
      <c r="D5" s="1" t="s">
        <v>76</v>
      </c>
      <c r="E5" s="3">
        <v>284</v>
      </c>
      <c r="F5" s="1" t="s">
        <v>1</v>
      </c>
      <c r="G5" s="1" t="s">
        <v>0</v>
      </c>
      <c r="H5" s="1" t="s">
        <v>86</v>
      </c>
      <c r="I5" s="1" t="s">
        <v>85</v>
      </c>
      <c r="J5" s="1" t="s">
        <v>84</v>
      </c>
      <c r="K5" t="s">
        <v>89</v>
      </c>
      <c r="L5" t="str">
        <f t="shared" si="0"/>
        <v>TODAS VAN A 2 MTS DE ALTURA, CEDRO SIL, PASAR A CEDI</v>
      </c>
    </row>
    <row r="6" spans="1:12" x14ac:dyDescent="0.3">
      <c r="A6" s="1" t="s">
        <v>70</v>
      </c>
      <c r="B6" t="s">
        <v>125</v>
      </c>
      <c r="C6" s="1" t="s">
        <v>99</v>
      </c>
      <c r="D6" s="1" t="s">
        <v>76</v>
      </c>
      <c r="E6" s="3">
        <v>284</v>
      </c>
      <c r="F6" s="1" t="s">
        <v>1</v>
      </c>
      <c r="G6" s="1" t="s">
        <v>0</v>
      </c>
      <c r="H6" s="1" t="s">
        <v>86</v>
      </c>
      <c r="I6" s="1" t="s">
        <v>85</v>
      </c>
      <c r="J6" s="1" t="s">
        <v>84</v>
      </c>
      <c r="K6" t="s">
        <v>89</v>
      </c>
      <c r="L6" t="str">
        <f t="shared" si="0"/>
        <v>TODAS VAN A 2 MTS DE ALTURA, CEDRO SIL, PASAR A CEDI</v>
      </c>
    </row>
    <row r="7" spans="1:12" x14ac:dyDescent="0.3">
      <c r="A7" s="1" t="s">
        <v>69</v>
      </c>
      <c r="B7" t="s">
        <v>126</v>
      </c>
      <c r="C7" s="1" t="s">
        <v>100</v>
      </c>
      <c r="D7" s="1" t="s">
        <v>76</v>
      </c>
      <c r="E7" s="3">
        <v>284</v>
      </c>
      <c r="F7" s="1" t="s">
        <v>1</v>
      </c>
      <c r="G7" s="1" t="s">
        <v>0</v>
      </c>
      <c r="H7" s="1" t="s">
        <v>86</v>
      </c>
      <c r="I7" s="1" t="s">
        <v>85</v>
      </c>
      <c r="J7" s="1" t="s">
        <v>84</v>
      </c>
      <c r="K7" t="s">
        <v>89</v>
      </c>
      <c r="L7" t="str">
        <f t="shared" si="0"/>
        <v>TODAS VAN A 2 MTS DE ALTURA, CEDRO SIL, PASAR A CEDI</v>
      </c>
    </row>
    <row r="8" spans="1:12" x14ac:dyDescent="0.3">
      <c r="A8" s="1" t="s">
        <v>68</v>
      </c>
      <c r="B8" t="s">
        <v>127</v>
      </c>
      <c r="C8" s="1" t="s">
        <v>101</v>
      </c>
      <c r="D8" s="1" t="s">
        <v>76</v>
      </c>
      <c r="E8" s="3">
        <v>284</v>
      </c>
      <c r="F8" s="1" t="s">
        <v>1</v>
      </c>
      <c r="G8" s="1" t="s">
        <v>0</v>
      </c>
      <c r="H8" s="1" t="s">
        <v>86</v>
      </c>
      <c r="I8" s="1" t="s">
        <v>85</v>
      </c>
      <c r="J8" s="1" t="s">
        <v>84</v>
      </c>
      <c r="K8" t="s">
        <v>89</v>
      </c>
      <c r="L8" t="str">
        <f t="shared" si="0"/>
        <v>TODAS VAN A 2 MTS DE ALTURA, CEDRO SIL, PASAR A CEDI</v>
      </c>
    </row>
    <row r="9" spans="1:12" x14ac:dyDescent="0.3">
      <c r="A9" s="1" t="s">
        <v>74</v>
      </c>
      <c r="B9" t="s">
        <v>144</v>
      </c>
      <c r="C9" s="1" t="s">
        <v>95</v>
      </c>
      <c r="D9" s="1" t="s">
        <v>75</v>
      </c>
      <c r="E9" s="3">
        <v>174</v>
      </c>
      <c r="F9" s="1" t="s">
        <v>1</v>
      </c>
      <c r="G9" s="1" t="s">
        <v>0</v>
      </c>
      <c r="H9" s="1" t="s">
        <v>86</v>
      </c>
      <c r="I9" s="1" t="s">
        <v>85</v>
      </c>
      <c r="J9" s="1" t="s">
        <v>84</v>
      </c>
      <c r="K9" t="s">
        <v>90</v>
      </c>
      <c r="L9" t="str">
        <f t="shared" si="0"/>
        <v>TODAS VAN A 2 MTS DE ALTURA, WENGUE CL, PASAR A CEDI</v>
      </c>
    </row>
    <row r="10" spans="1:12" x14ac:dyDescent="0.3">
      <c r="A10" s="1" t="s">
        <v>73</v>
      </c>
      <c r="B10" t="s">
        <v>145</v>
      </c>
      <c r="C10" s="1" t="s">
        <v>96</v>
      </c>
      <c r="D10" s="1" t="s">
        <v>75</v>
      </c>
      <c r="E10" s="3">
        <v>174</v>
      </c>
      <c r="F10" s="1" t="s">
        <v>1</v>
      </c>
      <c r="G10" s="1" t="s">
        <v>0</v>
      </c>
      <c r="H10" s="1" t="s">
        <v>86</v>
      </c>
      <c r="I10" s="1" t="s">
        <v>85</v>
      </c>
      <c r="J10" s="1" t="s">
        <v>84</v>
      </c>
      <c r="K10" t="s">
        <v>90</v>
      </c>
      <c r="L10" t="str">
        <f t="shared" si="0"/>
        <v>TODAS VAN A 2 MTS DE ALTURA, WENGUE CL, PASAR A CEDI</v>
      </c>
    </row>
    <row r="11" spans="1:12" x14ac:dyDescent="0.3">
      <c r="A11" s="1" t="s">
        <v>72</v>
      </c>
      <c r="B11" t="s">
        <v>123</v>
      </c>
      <c r="C11" s="1" t="s">
        <v>97</v>
      </c>
      <c r="D11" s="1" t="s">
        <v>75</v>
      </c>
      <c r="E11" s="3">
        <v>174</v>
      </c>
      <c r="F11" s="1" t="s">
        <v>1</v>
      </c>
      <c r="G11" s="1" t="s">
        <v>0</v>
      </c>
      <c r="H11" s="1" t="s">
        <v>86</v>
      </c>
      <c r="I11" s="1" t="s">
        <v>85</v>
      </c>
      <c r="J11" s="1" t="s">
        <v>84</v>
      </c>
      <c r="K11" t="s">
        <v>90</v>
      </c>
      <c r="L11" t="str">
        <f t="shared" si="0"/>
        <v>TODAS VAN A 2 MTS DE ALTURA, WENGUE CL, PASAR A CEDI</v>
      </c>
    </row>
    <row r="12" spans="1:12" x14ac:dyDescent="0.3">
      <c r="A12" s="1" t="s">
        <v>71</v>
      </c>
      <c r="B12" t="s">
        <v>124</v>
      </c>
      <c r="C12" s="1" t="s">
        <v>98</v>
      </c>
      <c r="D12" s="1" t="s">
        <v>75</v>
      </c>
      <c r="E12" s="3">
        <v>174</v>
      </c>
      <c r="F12" s="1" t="s">
        <v>1</v>
      </c>
      <c r="G12" s="1" t="s">
        <v>0</v>
      </c>
      <c r="H12" s="1" t="s">
        <v>86</v>
      </c>
      <c r="I12" s="1" t="s">
        <v>85</v>
      </c>
      <c r="J12" s="1" t="s">
        <v>84</v>
      </c>
      <c r="K12" t="s">
        <v>90</v>
      </c>
      <c r="L12" t="str">
        <f t="shared" si="0"/>
        <v>TODAS VAN A 2 MTS DE ALTURA, WENGUE CL, PASAR A CEDI</v>
      </c>
    </row>
    <row r="13" spans="1:12" x14ac:dyDescent="0.3">
      <c r="A13" s="1" t="s">
        <v>70</v>
      </c>
      <c r="B13" t="s">
        <v>125</v>
      </c>
      <c r="C13" s="1" t="s">
        <v>99</v>
      </c>
      <c r="D13" s="1" t="s">
        <v>75</v>
      </c>
      <c r="E13" s="3">
        <v>174</v>
      </c>
      <c r="F13" s="1" t="s">
        <v>1</v>
      </c>
      <c r="G13" s="1" t="s">
        <v>0</v>
      </c>
      <c r="H13" s="1" t="s">
        <v>86</v>
      </c>
      <c r="I13" s="1" t="s">
        <v>85</v>
      </c>
      <c r="J13" s="1" t="s">
        <v>84</v>
      </c>
      <c r="K13" t="s">
        <v>90</v>
      </c>
      <c r="L13" t="str">
        <f t="shared" si="0"/>
        <v>TODAS VAN A 2 MTS DE ALTURA, WENGUE CL, PASAR A CEDI</v>
      </c>
    </row>
    <row r="14" spans="1:12" x14ac:dyDescent="0.3">
      <c r="A14" s="1" t="s">
        <v>69</v>
      </c>
      <c r="B14" t="s">
        <v>126</v>
      </c>
      <c r="C14" s="1" t="s">
        <v>100</v>
      </c>
      <c r="D14" s="1" t="s">
        <v>75</v>
      </c>
      <c r="E14" s="3">
        <v>174</v>
      </c>
      <c r="F14" s="1" t="s">
        <v>1</v>
      </c>
      <c r="G14" s="1" t="s">
        <v>0</v>
      </c>
      <c r="H14" s="1" t="s">
        <v>86</v>
      </c>
      <c r="I14" s="1" t="s">
        <v>85</v>
      </c>
      <c r="J14" s="1" t="s">
        <v>84</v>
      </c>
      <c r="K14" t="s">
        <v>90</v>
      </c>
      <c r="L14" t="str">
        <f t="shared" si="0"/>
        <v>TODAS VAN A 2 MTS DE ALTURA, WENGUE CL, PASAR A CEDI</v>
      </c>
    </row>
    <row r="15" spans="1:12" x14ac:dyDescent="0.3">
      <c r="A15" s="1" t="s">
        <v>68</v>
      </c>
      <c r="B15" t="s">
        <v>127</v>
      </c>
      <c r="C15" s="1" t="s">
        <v>101</v>
      </c>
      <c r="D15" s="1" t="s">
        <v>75</v>
      </c>
      <c r="E15" s="3">
        <v>174</v>
      </c>
      <c r="F15" s="1" t="s">
        <v>1</v>
      </c>
      <c r="G15" s="1" t="s">
        <v>0</v>
      </c>
      <c r="H15" s="1" t="s">
        <v>86</v>
      </c>
      <c r="I15" s="1" t="s">
        <v>85</v>
      </c>
      <c r="J15" s="1" t="s">
        <v>84</v>
      </c>
      <c r="K15" t="s">
        <v>90</v>
      </c>
      <c r="L15" t="str">
        <f t="shared" si="0"/>
        <v>TODAS VAN A 2 MTS DE ALTURA, WENGUE CL, PASAR A CEDI</v>
      </c>
    </row>
    <row r="16" spans="1:12" x14ac:dyDescent="0.3">
      <c r="A16" s="1" t="s">
        <v>74</v>
      </c>
      <c r="B16" t="s">
        <v>144</v>
      </c>
      <c r="C16" s="1" t="s">
        <v>95</v>
      </c>
      <c r="D16" s="1" t="s">
        <v>67</v>
      </c>
      <c r="E16" s="3">
        <v>243</v>
      </c>
      <c r="F16" s="1" t="s">
        <v>1</v>
      </c>
      <c r="G16" s="1" t="s">
        <v>0</v>
      </c>
      <c r="H16" s="1" t="s">
        <v>86</v>
      </c>
      <c r="I16" s="1" t="s">
        <v>85</v>
      </c>
      <c r="J16" s="1" t="s">
        <v>84</v>
      </c>
      <c r="K16" t="s">
        <v>91</v>
      </c>
      <c r="L16" t="str">
        <f t="shared" si="0"/>
        <v>TODAS VAN A 2 MTS DE ALTURA, G. PLATA, PASAR A CEDI</v>
      </c>
    </row>
    <row r="17" spans="1:12" x14ac:dyDescent="0.3">
      <c r="A17" s="1" t="s">
        <v>73</v>
      </c>
      <c r="B17" t="s">
        <v>145</v>
      </c>
      <c r="C17" s="1" t="s">
        <v>96</v>
      </c>
      <c r="D17" s="1" t="s">
        <v>67</v>
      </c>
      <c r="E17" s="3">
        <v>243</v>
      </c>
      <c r="F17" s="1" t="s">
        <v>1</v>
      </c>
      <c r="G17" s="1" t="s">
        <v>0</v>
      </c>
      <c r="H17" s="1" t="s">
        <v>86</v>
      </c>
      <c r="I17" s="1" t="s">
        <v>85</v>
      </c>
      <c r="J17" s="1" t="s">
        <v>84</v>
      </c>
      <c r="K17" t="s">
        <v>91</v>
      </c>
      <c r="L17" t="str">
        <f t="shared" si="0"/>
        <v>TODAS VAN A 2 MTS DE ALTURA, G. PLATA, PASAR A CEDI</v>
      </c>
    </row>
    <row r="18" spans="1:12" x14ac:dyDescent="0.3">
      <c r="A18" s="1" t="s">
        <v>72</v>
      </c>
      <c r="B18" t="s">
        <v>123</v>
      </c>
      <c r="C18" s="1" t="s">
        <v>97</v>
      </c>
      <c r="D18" s="1" t="s">
        <v>67</v>
      </c>
      <c r="E18" s="3">
        <v>243</v>
      </c>
      <c r="F18" s="1" t="s">
        <v>1</v>
      </c>
      <c r="G18" s="1" t="s">
        <v>0</v>
      </c>
      <c r="H18" s="1" t="s">
        <v>86</v>
      </c>
      <c r="I18" s="1" t="s">
        <v>85</v>
      </c>
      <c r="J18" s="1" t="s">
        <v>84</v>
      </c>
      <c r="K18" t="s">
        <v>91</v>
      </c>
      <c r="L18" t="str">
        <f t="shared" si="0"/>
        <v>TODAS VAN A 2 MTS DE ALTURA, G. PLATA, PASAR A CEDI</v>
      </c>
    </row>
    <row r="19" spans="1:12" x14ac:dyDescent="0.3">
      <c r="A19" s="1" t="s">
        <v>71</v>
      </c>
      <c r="B19" t="s">
        <v>124</v>
      </c>
      <c r="C19" s="1" t="s">
        <v>98</v>
      </c>
      <c r="D19" s="1" t="s">
        <v>67</v>
      </c>
      <c r="E19" s="3">
        <v>243</v>
      </c>
      <c r="F19" s="1" t="s">
        <v>1</v>
      </c>
      <c r="G19" s="1" t="s">
        <v>0</v>
      </c>
      <c r="H19" s="1" t="s">
        <v>86</v>
      </c>
      <c r="I19" s="1" t="s">
        <v>85</v>
      </c>
      <c r="J19" s="1" t="s">
        <v>84</v>
      </c>
      <c r="K19" t="s">
        <v>91</v>
      </c>
      <c r="L19" t="str">
        <f t="shared" si="0"/>
        <v>TODAS VAN A 2 MTS DE ALTURA, G. PLATA, PASAR A CEDI</v>
      </c>
    </row>
    <row r="20" spans="1:12" x14ac:dyDescent="0.3">
      <c r="A20" s="1" t="s">
        <v>70</v>
      </c>
      <c r="B20" t="s">
        <v>125</v>
      </c>
      <c r="C20" s="1" t="s">
        <v>99</v>
      </c>
      <c r="D20" s="1" t="s">
        <v>67</v>
      </c>
      <c r="E20" s="3">
        <v>243</v>
      </c>
      <c r="F20" s="1" t="s">
        <v>1</v>
      </c>
      <c r="G20" s="1" t="s">
        <v>0</v>
      </c>
      <c r="H20" s="1" t="s">
        <v>86</v>
      </c>
      <c r="I20" s="1" t="s">
        <v>85</v>
      </c>
      <c r="J20" s="1" t="s">
        <v>84</v>
      </c>
      <c r="K20" t="s">
        <v>91</v>
      </c>
      <c r="L20" t="str">
        <f t="shared" si="0"/>
        <v>TODAS VAN A 2 MTS DE ALTURA, G. PLATA, PASAR A CEDI</v>
      </c>
    </row>
    <row r="21" spans="1:12" x14ac:dyDescent="0.3">
      <c r="A21" s="1" t="s">
        <v>69</v>
      </c>
      <c r="B21" t="s">
        <v>126</v>
      </c>
      <c r="C21" s="1" t="s">
        <v>100</v>
      </c>
      <c r="D21" s="1" t="s">
        <v>67</v>
      </c>
      <c r="E21" s="3">
        <v>243</v>
      </c>
      <c r="F21" s="1" t="s">
        <v>1</v>
      </c>
      <c r="G21" s="1" t="s">
        <v>0</v>
      </c>
      <c r="H21" s="1" t="s">
        <v>86</v>
      </c>
      <c r="I21" s="1" t="s">
        <v>85</v>
      </c>
      <c r="J21" s="1" t="s">
        <v>84</v>
      </c>
      <c r="K21" t="s">
        <v>91</v>
      </c>
      <c r="L21" t="str">
        <f t="shared" si="0"/>
        <v>TODAS VAN A 2 MTS DE ALTURA, G. PLATA, PASAR A CEDI</v>
      </c>
    </row>
    <row r="22" spans="1:12" x14ac:dyDescent="0.3">
      <c r="A22" s="1" t="s">
        <v>68</v>
      </c>
      <c r="B22" t="s">
        <v>127</v>
      </c>
      <c r="C22" s="1" t="s">
        <v>101</v>
      </c>
      <c r="D22" s="1" t="s">
        <v>67</v>
      </c>
      <c r="E22" s="3">
        <v>243</v>
      </c>
      <c r="F22" s="1" t="s">
        <v>1</v>
      </c>
      <c r="G22" s="1" t="s">
        <v>0</v>
      </c>
      <c r="H22" s="1" t="s">
        <v>86</v>
      </c>
      <c r="I22" s="1" t="s">
        <v>85</v>
      </c>
      <c r="J22" s="1" t="s">
        <v>84</v>
      </c>
      <c r="K22" t="s">
        <v>91</v>
      </c>
      <c r="L22" t="str">
        <f t="shared" si="0"/>
        <v>TODAS VAN A 2 MTS DE ALTURA, G. PLATA, PASAR A CEDI</v>
      </c>
    </row>
    <row r="23" spans="1:12" x14ac:dyDescent="0.3">
      <c r="A23" s="1" t="s">
        <v>66</v>
      </c>
      <c r="C23" s="1" t="s">
        <v>102</v>
      </c>
      <c r="D23" s="1" t="s">
        <v>52</v>
      </c>
      <c r="E23" s="3" t="s">
        <v>128</v>
      </c>
      <c r="F23" s="1" t="s">
        <v>1</v>
      </c>
      <c r="G23" s="1" t="s">
        <v>0</v>
      </c>
      <c r="H23" s="1" t="s">
        <v>86</v>
      </c>
      <c r="J23" s="1" t="s">
        <v>84</v>
      </c>
      <c r="K23" t="s">
        <v>93</v>
      </c>
    </row>
    <row r="24" spans="1:12" x14ac:dyDescent="0.3">
      <c r="A24" s="1" t="s">
        <v>65</v>
      </c>
      <c r="C24" s="1" t="s">
        <v>103</v>
      </c>
      <c r="D24" s="1" t="s">
        <v>52</v>
      </c>
      <c r="E24" s="3" t="s">
        <v>128</v>
      </c>
      <c r="F24" s="1" t="s">
        <v>1</v>
      </c>
      <c r="G24" s="1" t="s">
        <v>0</v>
      </c>
      <c r="H24" s="1" t="s">
        <v>86</v>
      </c>
      <c r="J24" s="1" t="s">
        <v>84</v>
      </c>
      <c r="K24" t="s">
        <v>93</v>
      </c>
    </row>
    <row r="25" spans="1:12" x14ac:dyDescent="0.3">
      <c r="A25" s="1" t="s">
        <v>64</v>
      </c>
      <c r="C25" s="1" t="s">
        <v>104</v>
      </c>
      <c r="D25" s="1" t="s">
        <v>52</v>
      </c>
      <c r="E25" s="3" t="s">
        <v>128</v>
      </c>
      <c r="F25" s="1" t="s">
        <v>1</v>
      </c>
      <c r="G25" s="1" t="s">
        <v>0</v>
      </c>
      <c r="H25" s="1" t="s">
        <v>86</v>
      </c>
      <c r="J25" s="1" t="s">
        <v>84</v>
      </c>
      <c r="K25" t="s">
        <v>93</v>
      </c>
    </row>
    <row r="26" spans="1:12" x14ac:dyDescent="0.3">
      <c r="A26" s="1" t="s">
        <v>63</v>
      </c>
      <c r="C26" s="1" t="s">
        <v>105</v>
      </c>
      <c r="D26" s="1" t="s">
        <v>52</v>
      </c>
      <c r="E26" s="3" t="s">
        <v>128</v>
      </c>
      <c r="F26" s="1" t="s">
        <v>1</v>
      </c>
      <c r="G26" s="1" t="s">
        <v>0</v>
      </c>
      <c r="H26" s="1" t="s">
        <v>86</v>
      </c>
      <c r="J26" s="1" t="s">
        <v>84</v>
      </c>
      <c r="K26" t="s">
        <v>93</v>
      </c>
    </row>
    <row r="27" spans="1:12" x14ac:dyDescent="0.3">
      <c r="A27" s="1" t="s">
        <v>62</v>
      </c>
      <c r="C27" s="1" t="s">
        <v>106</v>
      </c>
      <c r="D27" s="1" t="s">
        <v>52</v>
      </c>
      <c r="E27" s="3" t="s">
        <v>128</v>
      </c>
      <c r="F27" s="1" t="s">
        <v>1</v>
      </c>
      <c r="G27" s="1" t="s">
        <v>0</v>
      </c>
      <c r="H27" s="1" t="s">
        <v>86</v>
      </c>
      <c r="J27" s="1" t="s">
        <v>84</v>
      </c>
      <c r="K27" t="s">
        <v>93</v>
      </c>
    </row>
    <row r="28" spans="1:12" x14ac:dyDescent="0.3">
      <c r="A28" s="1" t="s">
        <v>61</v>
      </c>
      <c r="C28" s="1" t="s">
        <v>107</v>
      </c>
      <c r="D28" s="1" t="s">
        <v>52</v>
      </c>
      <c r="E28" s="3" t="s">
        <v>128</v>
      </c>
      <c r="F28" s="1" t="s">
        <v>1</v>
      </c>
      <c r="G28" s="1" t="s">
        <v>0</v>
      </c>
      <c r="H28" s="1" t="s">
        <v>86</v>
      </c>
      <c r="J28" s="1" t="s">
        <v>84</v>
      </c>
      <c r="K28" t="s">
        <v>93</v>
      </c>
    </row>
    <row r="29" spans="1:12" x14ac:dyDescent="0.3">
      <c r="A29" s="1" t="s">
        <v>60</v>
      </c>
      <c r="C29" s="1" t="s">
        <v>108</v>
      </c>
      <c r="D29" s="1" t="s">
        <v>52</v>
      </c>
      <c r="E29" s="3" t="s">
        <v>128</v>
      </c>
      <c r="F29" s="1" t="s">
        <v>1</v>
      </c>
      <c r="G29" s="1" t="s">
        <v>0</v>
      </c>
      <c r="H29" s="1" t="s">
        <v>86</v>
      </c>
      <c r="J29" s="1" t="s">
        <v>84</v>
      </c>
      <c r="K29" t="s">
        <v>93</v>
      </c>
    </row>
    <row r="30" spans="1:12" x14ac:dyDescent="0.3">
      <c r="A30" s="1" t="s">
        <v>59</v>
      </c>
      <c r="C30" s="1" t="s">
        <v>109</v>
      </c>
      <c r="D30" s="1" t="s">
        <v>52</v>
      </c>
      <c r="E30" s="3" t="s">
        <v>128</v>
      </c>
      <c r="F30" s="1" t="s">
        <v>1</v>
      </c>
      <c r="G30" s="1" t="s">
        <v>0</v>
      </c>
      <c r="H30" s="1" t="s">
        <v>86</v>
      </c>
      <c r="J30" s="1" t="s">
        <v>84</v>
      </c>
      <c r="K30" t="s">
        <v>93</v>
      </c>
    </row>
    <row r="31" spans="1:12" x14ac:dyDescent="0.3">
      <c r="A31" s="1" t="s">
        <v>58</v>
      </c>
      <c r="C31" s="1" t="s">
        <v>110</v>
      </c>
      <c r="D31" s="1" t="s">
        <v>52</v>
      </c>
      <c r="E31" s="3" t="s">
        <v>128</v>
      </c>
      <c r="F31" s="1" t="s">
        <v>1</v>
      </c>
      <c r="G31" s="1" t="s">
        <v>0</v>
      </c>
      <c r="H31" s="1" t="s">
        <v>86</v>
      </c>
      <c r="J31" s="1" t="s">
        <v>84</v>
      </c>
      <c r="K31" t="s">
        <v>93</v>
      </c>
    </row>
    <row r="32" spans="1:12" x14ac:dyDescent="0.3">
      <c r="A32" s="1" t="s">
        <v>57</v>
      </c>
      <c r="C32" s="1" t="s">
        <v>111</v>
      </c>
      <c r="D32" s="1" t="s">
        <v>52</v>
      </c>
      <c r="E32" s="3" t="s">
        <v>128</v>
      </c>
      <c r="F32" s="1" t="s">
        <v>1</v>
      </c>
      <c r="G32" s="1" t="s">
        <v>0</v>
      </c>
      <c r="H32" s="1" t="s">
        <v>86</v>
      </c>
      <c r="J32" s="1" t="s">
        <v>84</v>
      </c>
      <c r="K32" t="s">
        <v>93</v>
      </c>
    </row>
    <row r="33" spans="1:12" x14ac:dyDescent="0.3">
      <c r="A33" s="1" t="s">
        <v>56</v>
      </c>
      <c r="C33" s="1" t="s">
        <v>112</v>
      </c>
      <c r="D33" s="1" t="s">
        <v>52</v>
      </c>
      <c r="E33" s="3" t="s">
        <v>128</v>
      </c>
      <c r="F33" s="1" t="s">
        <v>1</v>
      </c>
      <c r="G33" s="1" t="s">
        <v>0</v>
      </c>
      <c r="H33" s="1" t="s">
        <v>86</v>
      </c>
      <c r="J33" s="1" t="s">
        <v>84</v>
      </c>
      <c r="K33" t="s">
        <v>93</v>
      </c>
    </row>
    <row r="34" spans="1:12" x14ac:dyDescent="0.3">
      <c r="A34" s="1" t="s">
        <v>55</v>
      </c>
      <c r="C34" s="1" t="s">
        <v>113</v>
      </c>
      <c r="D34" s="1" t="s">
        <v>52</v>
      </c>
      <c r="E34" s="3" t="s">
        <v>128</v>
      </c>
      <c r="F34" s="1" t="s">
        <v>1</v>
      </c>
      <c r="G34" s="1" t="s">
        <v>0</v>
      </c>
      <c r="H34" s="1" t="s">
        <v>86</v>
      </c>
      <c r="J34" s="1" t="s">
        <v>84</v>
      </c>
      <c r="K34" t="s">
        <v>93</v>
      </c>
    </row>
    <row r="35" spans="1:12" x14ac:dyDescent="0.3">
      <c r="A35" s="1" t="s">
        <v>54</v>
      </c>
      <c r="C35" s="1" t="s">
        <v>114</v>
      </c>
      <c r="D35" s="1" t="s">
        <v>52</v>
      </c>
      <c r="E35" s="3" t="s">
        <v>128</v>
      </c>
      <c r="F35" s="1" t="s">
        <v>1</v>
      </c>
      <c r="G35" s="1" t="s">
        <v>0</v>
      </c>
      <c r="H35" s="1" t="s">
        <v>86</v>
      </c>
      <c r="J35" s="1" t="s">
        <v>84</v>
      </c>
      <c r="K35" t="s">
        <v>93</v>
      </c>
    </row>
    <row r="36" spans="1:12" x14ac:dyDescent="0.3">
      <c r="A36" s="1" t="s">
        <v>53</v>
      </c>
      <c r="C36" s="1" t="s">
        <v>115</v>
      </c>
      <c r="D36" s="1" t="s">
        <v>52</v>
      </c>
      <c r="E36" s="3" t="s">
        <v>128</v>
      </c>
      <c r="F36" s="1" t="s">
        <v>1</v>
      </c>
      <c r="G36" s="1" t="s">
        <v>0</v>
      </c>
      <c r="H36" s="1" t="s">
        <v>86</v>
      </c>
      <c r="J36" s="1" t="s">
        <v>84</v>
      </c>
      <c r="K36" t="s">
        <v>93</v>
      </c>
    </row>
    <row r="37" spans="1:12" x14ac:dyDescent="0.3">
      <c r="A37" s="1" t="s">
        <v>51</v>
      </c>
      <c r="C37" s="1" t="s">
        <v>116</v>
      </c>
      <c r="D37" s="1" t="s">
        <v>44</v>
      </c>
      <c r="E37" s="3" t="s">
        <v>151</v>
      </c>
      <c r="F37" s="1" t="s">
        <v>1</v>
      </c>
      <c r="G37" s="1" t="s">
        <v>0</v>
      </c>
      <c r="H37" s="1" t="s">
        <v>86</v>
      </c>
      <c r="J37" s="1" t="s">
        <v>84</v>
      </c>
      <c r="K37" t="s">
        <v>94</v>
      </c>
    </row>
    <row r="38" spans="1:12" x14ac:dyDescent="0.3">
      <c r="A38" s="1" t="s">
        <v>50</v>
      </c>
      <c r="C38" s="1" t="s">
        <v>117</v>
      </c>
      <c r="D38" s="1" t="s">
        <v>44</v>
      </c>
      <c r="E38" s="3" t="s">
        <v>151</v>
      </c>
      <c r="F38" s="1" t="s">
        <v>1</v>
      </c>
      <c r="G38" s="1" t="s">
        <v>0</v>
      </c>
      <c r="H38" s="1" t="s">
        <v>86</v>
      </c>
      <c r="J38" s="1" t="s">
        <v>84</v>
      </c>
      <c r="K38" t="s">
        <v>94</v>
      </c>
    </row>
    <row r="39" spans="1:12" x14ac:dyDescent="0.3">
      <c r="A39" s="1" t="s">
        <v>49</v>
      </c>
      <c r="C39" s="1" t="s">
        <v>118</v>
      </c>
      <c r="D39" s="1" t="s">
        <v>44</v>
      </c>
      <c r="E39" s="3" t="s">
        <v>151</v>
      </c>
      <c r="F39" s="1" t="s">
        <v>1</v>
      </c>
      <c r="G39" s="1" t="s">
        <v>0</v>
      </c>
      <c r="H39" s="1" t="s">
        <v>86</v>
      </c>
      <c r="J39" s="1" t="s">
        <v>84</v>
      </c>
      <c r="K39" t="s">
        <v>94</v>
      </c>
    </row>
    <row r="40" spans="1:12" x14ac:dyDescent="0.3">
      <c r="A40" s="1" t="s">
        <v>48</v>
      </c>
      <c r="C40" s="1" t="s">
        <v>119</v>
      </c>
      <c r="D40" s="1" t="s">
        <v>44</v>
      </c>
      <c r="E40" s="3" t="s">
        <v>151</v>
      </c>
      <c r="F40" s="1" t="s">
        <v>1</v>
      </c>
      <c r="G40" s="1" t="s">
        <v>0</v>
      </c>
      <c r="H40" s="1" t="s">
        <v>86</v>
      </c>
      <c r="J40" s="1" t="s">
        <v>84</v>
      </c>
      <c r="K40" t="s">
        <v>94</v>
      </c>
    </row>
    <row r="41" spans="1:12" x14ac:dyDescent="0.3">
      <c r="A41" s="1" t="s">
        <v>47</v>
      </c>
      <c r="C41" s="1" t="s">
        <v>120</v>
      </c>
      <c r="D41" s="1" t="s">
        <v>44</v>
      </c>
      <c r="E41" s="3" t="s">
        <v>151</v>
      </c>
      <c r="F41" s="1" t="s">
        <v>1</v>
      </c>
      <c r="G41" s="1" t="s">
        <v>0</v>
      </c>
      <c r="H41" s="1" t="s">
        <v>86</v>
      </c>
      <c r="J41" s="1" t="s">
        <v>84</v>
      </c>
      <c r="K41" t="s">
        <v>94</v>
      </c>
    </row>
    <row r="42" spans="1:12" x14ac:dyDescent="0.3">
      <c r="A42" s="1" t="s">
        <v>46</v>
      </c>
      <c r="C42" s="1" t="s">
        <v>121</v>
      </c>
      <c r="D42" s="1" t="s">
        <v>44</v>
      </c>
      <c r="E42" s="3" t="s">
        <v>151</v>
      </c>
      <c r="F42" s="1" t="s">
        <v>1</v>
      </c>
      <c r="G42" s="1" t="s">
        <v>0</v>
      </c>
      <c r="H42" s="1" t="s">
        <v>86</v>
      </c>
      <c r="J42" s="1" t="s">
        <v>84</v>
      </c>
      <c r="K42" t="s">
        <v>94</v>
      </c>
    </row>
    <row r="43" spans="1:12" x14ac:dyDescent="0.3">
      <c r="A43" s="1" t="s">
        <v>45</v>
      </c>
      <c r="C43" s="1" t="s">
        <v>122</v>
      </c>
      <c r="D43" s="1" t="s">
        <v>44</v>
      </c>
      <c r="E43" s="3" t="s">
        <v>151</v>
      </c>
      <c r="F43" s="1" t="s">
        <v>1</v>
      </c>
      <c r="G43" s="1" t="s">
        <v>0</v>
      </c>
      <c r="H43" s="1" t="s">
        <v>86</v>
      </c>
      <c r="I43" s="1"/>
      <c r="J43" s="1" t="s">
        <v>84</v>
      </c>
      <c r="K43" t="s">
        <v>94</v>
      </c>
    </row>
    <row r="44" spans="1:12" x14ac:dyDescent="0.3">
      <c r="A44" s="1" t="s">
        <v>43</v>
      </c>
      <c r="B44" t="s">
        <v>129</v>
      </c>
      <c r="C44" s="1" t="s">
        <v>42</v>
      </c>
      <c r="D44" s="1" t="s">
        <v>31</v>
      </c>
      <c r="E44" s="1">
        <v>181</v>
      </c>
      <c r="F44" s="1" t="s">
        <v>1</v>
      </c>
      <c r="G44" s="1" t="s">
        <v>0</v>
      </c>
      <c r="H44" s="1" t="s">
        <v>86</v>
      </c>
      <c r="I44" s="1" t="s">
        <v>92</v>
      </c>
      <c r="J44" s="1" t="s">
        <v>84</v>
      </c>
      <c r="K44" t="s">
        <v>152</v>
      </c>
      <c r="L44" t="s">
        <v>153</v>
      </c>
    </row>
    <row r="45" spans="1:12" x14ac:dyDescent="0.3">
      <c r="A45" s="1" t="s">
        <v>41</v>
      </c>
      <c r="B45" t="s">
        <v>130</v>
      </c>
      <c r="C45" s="1" t="s">
        <v>40</v>
      </c>
      <c r="D45" s="1" t="s">
        <v>31</v>
      </c>
      <c r="E45" s="1">
        <v>181</v>
      </c>
      <c r="F45" s="1" t="s">
        <v>1</v>
      </c>
      <c r="G45" s="1" t="s">
        <v>0</v>
      </c>
      <c r="H45" s="1" t="s">
        <v>86</v>
      </c>
      <c r="I45" s="1" t="s">
        <v>92</v>
      </c>
      <c r="J45" s="1" t="s">
        <v>84</v>
      </c>
      <c r="K45" t="s">
        <v>152</v>
      </c>
      <c r="L45" t="s">
        <v>153</v>
      </c>
    </row>
    <row r="46" spans="1:12" x14ac:dyDescent="0.3">
      <c r="A46" s="1" t="s">
        <v>39</v>
      </c>
      <c r="B46" t="s">
        <v>131</v>
      </c>
      <c r="C46" s="1" t="s">
        <v>38</v>
      </c>
      <c r="D46" s="1" t="s">
        <v>31</v>
      </c>
      <c r="E46" s="1">
        <v>181</v>
      </c>
      <c r="F46" s="1" t="s">
        <v>1</v>
      </c>
      <c r="G46" s="1" t="s">
        <v>0</v>
      </c>
      <c r="H46" s="1" t="s">
        <v>86</v>
      </c>
      <c r="I46" s="1" t="s">
        <v>92</v>
      </c>
      <c r="J46" s="1" t="s">
        <v>84</v>
      </c>
      <c r="K46" t="s">
        <v>152</v>
      </c>
      <c r="L46" t="s">
        <v>153</v>
      </c>
    </row>
    <row r="47" spans="1:12" x14ac:dyDescent="0.3">
      <c r="A47" s="1" t="s">
        <v>37</v>
      </c>
      <c r="B47" t="s">
        <v>132</v>
      </c>
      <c r="C47" s="1" t="s">
        <v>36</v>
      </c>
      <c r="D47" s="1" t="s">
        <v>31</v>
      </c>
      <c r="E47" s="1">
        <v>181</v>
      </c>
      <c r="F47" s="1" t="s">
        <v>1</v>
      </c>
      <c r="G47" s="1" t="s">
        <v>0</v>
      </c>
      <c r="H47" s="1" t="s">
        <v>86</v>
      </c>
      <c r="I47" s="1" t="s">
        <v>92</v>
      </c>
      <c r="J47" s="1" t="s">
        <v>84</v>
      </c>
      <c r="K47" t="s">
        <v>152</v>
      </c>
      <c r="L47" t="s">
        <v>153</v>
      </c>
    </row>
    <row r="48" spans="1:12" x14ac:dyDescent="0.3">
      <c r="A48" s="1" t="s">
        <v>35</v>
      </c>
      <c r="B48" t="s">
        <v>133</v>
      </c>
      <c r="C48" s="1" t="s">
        <v>34</v>
      </c>
      <c r="D48" s="1" t="s">
        <v>31</v>
      </c>
      <c r="E48" s="1">
        <v>181</v>
      </c>
      <c r="F48" s="1" t="s">
        <v>1</v>
      </c>
      <c r="G48" s="1" t="s">
        <v>0</v>
      </c>
      <c r="H48" s="1" t="s">
        <v>86</v>
      </c>
      <c r="I48" s="1" t="s">
        <v>92</v>
      </c>
      <c r="J48" s="1" t="s">
        <v>84</v>
      </c>
      <c r="K48" t="s">
        <v>152</v>
      </c>
      <c r="L48" t="s">
        <v>153</v>
      </c>
    </row>
    <row r="49" spans="1:12" x14ac:dyDescent="0.3">
      <c r="A49" s="1" t="s">
        <v>33</v>
      </c>
      <c r="B49" t="s">
        <v>134</v>
      </c>
      <c r="C49" s="1" t="s">
        <v>32</v>
      </c>
      <c r="D49" s="1" t="s">
        <v>31</v>
      </c>
      <c r="E49" s="1">
        <v>181</v>
      </c>
      <c r="F49" s="1" t="s">
        <v>1</v>
      </c>
      <c r="G49" s="1" t="s">
        <v>0</v>
      </c>
      <c r="H49" s="1" t="s">
        <v>86</v>
      </c>
      <c r="I49" s="1" t="s">
        <v>92</v>
      </c>
      <c r="J49" s="1" t="s">
        <v>84</v>
      </c>
      <c r="K49" t="s">
        <v>152</v>
      </c>
      <c r="L49" t="s">
        <v>153</v>
      </c>
    </row>
    <row r="50" spans="1:12" x14ac:dyDescent="0.3">
      <c r="A50" s="1" t="s">
        <v>30</v>
      </c>
      <c r="B50" t="s">
        <v>135</v>
      </c>
      <c r="C50" s="1" t="s">
        <v>13</v>
      </c>
      <c r="D50" s="1" t="s">
        <v>27</v>
      </c>
      <c r="E50" s="1">
        <v>149</v>
      </c>
      <c r="F50" s="1" t="s">
        <v>1</v>
      </c>
      <c r="G50" s="1" t="s">
        <v>0</v>
      </c>
      <c r="H50" s="1" t="s">
        <v>86</v>
      </c>
      <c r="I50" s="1" t="s">
        <v>92</v>
      </c>
      <c r="J50" s="1" t="s">
        <v>84</v>
      </c>
      <c r="K50" t="s">
        <v>154</v>
      </c>
      <c r="L50" t="s">
        <v>155</v>
      </c>
    </row>
    <row r="51" spans="1:12" x14ac:dyDescent="0.3">
      <c r="A51" s="1" t="s">
        <v>29</v>
      </c>
      <c r="B51" t="s">
        <v>136</v>
      </c>
      <c r="C51" s="1" t="s">
        <v>11</v>
      </c>
      <c r="D51" s="1" t="s">
        <v>27</v>
      </c>
      <c r="E51" s="1">
        <v>149</v>
      </c>
      <c r="F51" s="1" t="s">
        <v>1</v>
      </c>
      <c r="G51" s="1" t="s">
        <v>0</v>
      </c>
      <c r="H51" s="1" t="s">
        <v>86</v>
      </c>
      <c r="I51" s="1" t="s">
        <v>92</v>
      </c>
      <c r="J51" s="1" t="s">
        <v>84</v>
      </c>
      <c r="K51" t="s">
        <v>154</v>
      </c>
      <c r="L51" t="s">
        <v>155</v>
      </c>
    </row>
    <row r="52" spans="1:12" x14ac:dyDescent="0.3">
      <c r="A52" s="1" t="s">
        <v>28</v>
      </c>
      <c r="B52" t="s">
        <v>137</v>
      </c>
      <c r="C52" s="1" t="s">
        <v>9</v>
      </c>
      <c r="D52" s="1" t="s">
        <v>27</v>
      </c>
      <c r="E52" s="1">
        <v>149</v>
      </c>
      <c r="F52" s="1" t="s">
        <v>1</v>
      </c>
      <c r="G52" s="1" t="s">
        <v>0</v>
      </c>
      <c r="H52" s="1" t="s">
        <v>86</v>
      </c>
      <c r="I52" s="1" t="s">
        <v>92</v>
      </c>
      <c r="J52" s="1" t="s">
        <v>84</v>
      </c>
      <c r="K52" t="s">
        <v>154</v>
      </c>
      <c r="L52" t="s">
        <v>155</v>
      </c>
    </row>
    <row r="53" spans="1:12" x14ac:dyDescent="0.3">
      <c r="A53" s="1" t="s">
        <v>26</v>
      </c>
      <c r="B53" t="s">
        <v>138</v>
      </c>
      <c r="C53" s="1" t="s">
        <v>25</v>
      </c>
      <c r="D53" s="1" t="s">
        <v>8</v>
      </c>
      <c r="E53" s="1">
        <v>157</v>
      </c>
      <c r="F53" s="1" t="s">
        <v>1</v>
      </c>
      <c r="G53" s="1" t="s">
        <v>0</v>
      </c>
      <c r="H53" s="1" t="s">
        <v>86</v>
      </c>
      <c r="I53" s="1" t="s">
        <v>92</v>
      </c>
      <c r="J53" s="1" t="s">
        <v>84</v>
      </c>
      <c r="K53" t="str">
        <f>+"TODAS VAN A 2.25 MTS DE ALTURA, "&amp;D53&amp;", ESPESOR 42 MM, "&amp;"PASAR A MAQUINADO"</f>
        <v>TODAS VAN A 2.25 MTS DE ALTURA, ARTIKO, ESPESOR 42 MM, PASAR A MAQUINADO</v>
      </c>
      <c r="L53" t="str">
        <f>+"TODAS VAN A 2.25 MTS DE ALTURA, "&amp;D53&amp;", ESPESOR 42 MM, "&amp;"ENCHAPADAS POR 4 LADOS, LISAS"</f>
        <v>TODAS VAN A 2.25 MTS DE ALTURA, ARTIKO, ESPESOR 42 MM, ENCHAPADAS POR 4 LADOS, LISAS</v>
      </c>
    </row>
    <row r="54" spans="1:12" x14ac:dyDescent="0.3">
      <c r="A54" s="1" t="s">
        <v>24</v>
      </c>
      <c r="B54" t="s">
        <v>139</v>
      </c>
      <c r="C54" s="1" t="s">
        <v>23</v>
      </c>
      <c r="D54" s="1" t="s">
        <v>8</v>
      </c>
      <c r="E54" s="1">
        <v>157</v>
      </c>
      <c r="F54" s="1" t="s">
        <v>1</v>
      </c>
      <c r="G54" s="1" t="s">
        <v>0</v>
      </c>
      <c r="H54" s="1" t="s">
        <v>86</v>
      </c>
      <c r="I54" s="1" t="s">
        <v>92</v>
      </c>
      <c r="J54" s="1" t="s">
        <v>84</v>
      </c>
      <c r="K54" t="str">
        <f t="shared" ref="K54:K55" si="1">+"TODAS VAN A 2.25 MTS DE ALTURA, "&amp;D54&amp;", ESPESOR 42 MM, "&amp;"PASAR A MAQUINADO"</f>
        <v>TODAS VAN A 2.25 MTS DE ALTURA, ARTIKO, ESPESOR 42 MM, PASAR A MAQUINADO</v>
      </c>
      <c r="L54" t="str">
        <f t="shared" ref="L54:L55" si="2">+"TODAS VAN A 2.25 MTS DE ALTURA, "&amp;D54&amp;", ESPESOR 42 MM, "&amp;"ENCHAPADAS POR 4 LADOS, LISAS"</f>
        <v>TODAS VAN A 2.25 MTS DE ALTURA, ARTIKO, ESPESOR 42 MM, ENCHAPADAS POR 4 LADOS, LISAS</v>
      </c>
    </row>
    <row r="55" spans="1:12" x14ac:dyDescent="0.3">
      <c r="A55" s="1" t="s">
        <v>22</v>
      </c>
      <c r="B55" t="s">
        <v>140</v>
      </c>
      <c r="C55" s="1" t="s">
        <v>21</v>
      </c>
      <c r="D55" s="1" t="s">
        <v>8</v>
      </c>
      <c r="E55" s="1">
        <v>157</v>
      </c>
      <c r="F55" s="1" t="s">
        <v>1</v>
      </c>
      <c r="G55" s="1" t="s">
        <v>0</v>
      </c>
      <c r="H55" s="1" t="s">
        <v>86</v>
      </c>
      <c r="I55" s="1" t="s">
        <v>92</v>
      </c>
      <c r="J55" s="1" t="s">
        <v>84</v>
      </c>
      <c r="K55" t="str">
        <f t="shared" si="1"/>
        <v>TODAS VAN A 2.25 MTS DE ALTURA, ARTIKO, ESPESOR 42 MM, PASAR A MAQUINADO</v>
      </c>
      <c r="L55" t="str">
        <f t="shared" si="2"/>
        <v>TODAS VAN A 2.25 MTS DE ALTURA, ARTIKO, ESPESOR 42 MM, ENCHAPADAS POR 4 LADOS, LISAS</v>
      </c>
    </row>
    <row r="56" spans="1:12" x14ac:dyDescent="0.3">
      <c r="A56" s="1" t="s">
        <v>20</v>
      </c>
      <c r="B56" t="s">
        <v>141</v>
      </c>
      <c r="C56" s="1" t="s">
        <v>19</v>
      </c>
      <c r="D56" s="1" t="s">
        <v>8</v>
      </c>
      <c r="E56" s="1">
        <v>157</v>
      </c>
      <c r="F56" s="1" t="s">
        <v>1</v>
      </c>
      <c r="G56" s="1" t="s">
        <v>0</v>
      </c>
      <c r="H56" s="1" t="s">
        <v>86</v>
      </c>
      <c r="I56" s="1" t="s">
        <v>92</v>
      </c>
      <c r="J56" s="1" t="s">
        <v>84</v>
      </c>
      <c r="K56" t="str">
        <f t="shared" ref="K56:K58" si="3">+"TODAS VAN A 2.10 MTS DE ALTURA, "&amp;D56&amp;", ESPESOR 42 MM, "&amp;"PASAR A MAQUINADO"</f>
        <v>TODAS VAN A 2.10 MTS DE ALTURA, ARTIKO, ESPESOR 42 MM, PASAR A MAQUINADO</v>
      </c>
      <c r="L56" t="str">
        <f t="shared" ref="L56:L58" si="4">+"TODAS VAN A 2.10 MTS DE ALTURA, "&amp;D56&amp;", ESPESOR 42 MM, "&amp;"ENCHAPADAS POR 4 LADOS, LISAS"</f>
        <v>TODAS VAN A 2.10 MTS DE ALTURA, ARTIKO, ESPESOR 42 MM, ENCHAPADAS POR 4 LADOS, LISAS</v>
      </c>
    </row>
    <row r="57" spans="1:12" x14ac:dyDescent="0.3">
      <c r="A57" s="1" t="s">
        <v>18</v>
      </c>
      <c r="B57" t="s">
        <v>142</v>
      </c>
      <c r="C57" s="1" t="s">
        <v>17</v>
      </c>
      <c r="D57" s="1" t="s">
        <v>8</v>
      </c>
      <c r="E57" s="1">
        <v>157</v>
      </c>
      <c r="F57" s="1" t="s">
        <v>1</v>
      </c>
      <c r="G57" s="1" t="s">
        <v>0</v>
      </c>
      <c r="H57" s="1" t="s">
        <v>86</v>
      </c>
      <c r="I57" s="1" t="s">
        <v>92</v>
      </c>
      <c r="J57" s="1" t="s">
        <v>84</v>
      </c>
      <c r="K57" t="str">
        <f t="shared" si="3"/>
        <v>TODAS VAN A 2.10 MTS DE ALTURA, ARTIKO, ESPESOR 42 MM, PASAR A MAQUINADO</v>
      </c>
      <c r="L57" t="str">
        <f t="shared" si="4"/>
        <v>TODAS VAN A 2.10 MTS DE ALTURA, ARTIKO, ESPESOR 42 MM, ENCHAPADAS POR 4 LADOS, LISAS</v>
      </c>
    </row>
    <row r="58" spans="1:12" x14ac:dyDescent="0.3">
      <c r="A58" s="1" t="s">
        <v>16</v>
      </c>
      <c r="B58" t="s">
        <v>143</v>
      </c>
      <c r="C58" s="1" t="s">
        <v>15</v>
      </c>
      <c r="D58" s="1" t="s">
        <v>8</v>
      </c>
      <c r="E58" s="1">
        <v>157</v>
      </c>
      <c r="F58" s="1" t="s">
        <v>1</v>
      </c>
      <c r="G58" s="1" t="s">
        <v>0</v>
      </c>
      <c r="H58" s="1" t="s">
        <v>86</v>
      </c>
      <c r="I58" s="1" t="s">
        <v>92</v>
      </c>
      <c r="J58" s="1" t="s">
        <v>84</v>
      </c>
      <c r="K58" t="str">
        <f t="shared" si="3"/>
        <v>TODAS VAN A 2.10 MTS DE ALTURA, ARTIKO, ESPESOR 42 MM, PASAR A MAQUINADO</v>
      </c>
      <c r="L58" t="str">
        <f t="shared" si="4"/>
        <v>TODAS VAN A 2.10 MTS DE ALTURA, ARTIKO, ESPESOR 42 MM, ENCHAPADAS POR 4 LADOS, LISAS</v>
      </c>
    </row>
    <row r="59" spans="1:12" x14ac:dyDescent="0.3">
      <c r="A59" s="1" t="s">
        <v>26</v>
      </c>
      <c r="B59" t="s">
        <v>138</v>
      </c>
      <c r="C59" s="1" t="s">
        <v>25</v>
      </c>
      <c r="D59" s="1" t="s">
        <v>7</v>
      </c>
      <c r="E59" s="1">
        <v>241</v>
      </c>
      <c r="F59" s="1" t="s">
        <v>1</v>
      </c>
      <c r="G59" s="1" t="s">
        <v>0</v>
      </c>
      <c r="H59" s="1" t="s">
        <v>86</v>
      </c>
      <c r="I59" s="1" t="s">
        <v>92</v>
      </c>
      <c r="J59" s="1" t="s">
        <v>84</v>
      </c>
      <c r="K59" t="str">
        <f t="shared" ref="K59:K61" si="5">+"TODAS VAN A 2.25 MTS DE ALTURA, "&amp;D59&amp;", ESPESOR 42 MM, "&amp;"PASAR A MAQUINADO"</f>
        <v>TODAS VAN A 2.25 MTS DE ALTURA, BELLOTA, ESPESOR 42 MM, PASAR A MAQUINADO</v>
      </c>
      <c r="L59" t="str">
        <f t="shared" ref="L59:L61" si="6">+"TODAS VAN A 2.25 MTS DE ALTURA, "&amp;D59&amp;", ESPESOR 42 MM, "&amp;"ENCHAPADAS POR 4 LADOS, LISAS"</f>
        <v>TODAS VAN A 2.25 MTS DE ALTURA, BELLOTA, ESPESOR 42 MM, ENCHAPADAS POR 4 LADOS, LISAS</v>
      </c>
    </row>
    <row r="60" spans="1:12" x14ac:dyDescent="0.3">
      <c r="A60" s="1" t="s">
        <v>24</v>
      </c>
      <c r="B60" t="s">
        <v>139</v>
      </c>
      <c r="C60" s="1" t="s">
        <v>23</v>
      </c>
      <c r="D60" s="1" t="s">
        <v>7</v>
      </c>
      <c r="E60" s="1">
        <v>241</v>
      </c>
      <c r="F60" s="1" t="s">
        <v>1</v>
      </c>
      <c r="G60" s="1" t="s">
        <v>0</v>
      </c>
      <c r="H60" s="1" t="s">
        <v>86</v>
      </c>
      <c r="I60" s="1" t="s">
        <v>92</v>
      </c>
      <c r="J60" s="1" t="s">
        <v>84</v>
      </c>
      <c r="K60" t="str">
        <f t="shared" si="5"/>
        <v>TODAS VAN A 2.25 MTS DE ALTURA, BELLOTA, ESPESOR 42 MM, PASAR A MAQUINADO</v>
      </c>
      <c r="L60" t="str">
        <f t="shared" si="6"/>
        <v>TODAS VAN A 2.25 MTS DE ALTURA, BELLOTA, ESPESOR 42 MM, ENCHAPADAS POR 4 LADOS, LISAS</v>
      </c>
    </row>
    <row r="61" spans="1:12" x14ac:dyDescent="0.3">
      <c r="A61" s="1" t="s">
        <v>22</v>
      </c>
      <c r="B61" t="s">
        <v>140</v>
      </c>
      <c r="C61" s="1" t="s">
        <v>21</v>
      </c>
      <c r="D61" s="1" t="s">
        <v>7</v>
      </c>
      <c r="E61" s="1">
        <v>241</v>
      </c>
      <c r="F61" s="1" t="s">
        <v>1</v>
      </c>
      <c r="G61" s="1" t="s">
        <v>0</v>
      </c>
      <c r="H61" s="1" t="s">
        <v>86</v>
      </c>
      <c r="I61" s="1" t="s">
        <v>92</v>
      </c>
      <c r="J61" s="1" t="s">
        <v>84</v>
      </c>
      <c r="K61" t="str">
        <f t="shared" si="5"/>
        <v>TODAS VAN A 2.25 MTS DE ALTURA, BELLOTA, ESPESOR 42 MM, PASAR A MAQUINADO</v>
      </c>
      <c r="L61" t="str">
        <f t="shared" si="6"/>
        <v>TODAS VAN A 2.25 MTS DE ALTURA, BELLOTA, ESPESOR 42 MM, ENCHAPADAS POR 4 LADOS, LISAS</v>
      </c>
    </row>
    <row r="62" spans="1:12" x14ac:dyDescent="0.3">
      <c r="A62" s="1" t="s">
        <v>20</v>
      </c>
      <c r="B62" t="s">
        <v>141</v>
      </c>
      <c r="C62" s="1" t="s">
        <v>19</v>
      </c>
      <c r="D62" s="1" t="s">
        <v>7</v>
      </c>
      <c r="E62" s="1">
        <v>241</v>
      </c>
      <c r="F62" s="1" t="s">
        <v>1</v>
      </c>
      <c r="G62" s="1" t="s">
        <v>0</v>
      </c>
      <c r="H62" s="1" t="s">
        <v>86</v>
      </c>
      <c r="I62" s="1" t="s">
        <v>92</v>
      </c>
      <c r="J62" s="1" t="s">
        <v>84</v>
      </c>
      <c r="K62" t="str">
        <f>+"TODAS VAN A 2.10 MTS DE ALTURA, "&amp;D62&amp;", ESPESOR 42 MM, "&amp;"PASAR A MAQUINADO"</f>
        <v>TODAS VAN A 2.10 MTS DE ALTURA, BELLOTA, ESPESOR 42 MM, PASAR A MAQUINADO</v>
      </c>
      <c r="L62" t="str">
        <f>+"TODAS VAN A 2.10 MTS DE ALTURA, "&amp;D62&amp;", ESPESOR 42 MM, "&amp;"ENCHAPADAS POR 4 LADOS, LISAS"</f>
        <v>TODAS VAN A 2.10 MTS DE ALTURA, BELLOTA, ESPESOR 42 MM, ENCHAPADAS POR 4 LADOS, LISAS</v>
      </c>
    </row>
    <row r="63" spans="1:12" x14ac:dyDescent="0.3">
      <c r="A63" s="1" t="s">
        <v>18</v>
      </c>
      <c r="B63" t="s">
        <v>142</v>
      </c>
      <c r="C63" s="1" t="s">
        <v>17</v>
      </c>
      <c r="D63" s="1" t="s">
        <v>7</v>
      </c>
      <c r="E63" s="1">
        <v>241</v>
      </c>
      <c r="F63" s="1" t="s">
        <v>1</v>
      </c>
      <c r="G63" s="1" t="s">
        <v>0</v>
      </c>
      <c r="H63" s="1" t="s">
        <v>86</v>
      </c>
      <c r="I63" s="1" t="s">
        <v>92</v>
      </c>
      <c r="J63" s="1" t="s">
        <v>84</v>
      </c>
      <c r="K63" t="str">
        <f t="shared" ref="K63:K64" si="7">+"TODAS VAN A 2.10 MTS DE ALTURA, "&amp;D63&amp;", ESPESOR 42 MM, "&amp;"PASAR A MAQUINADO"</f>
        <v>TODAS VAN A 2.10 MTS DE ALTURA, BELLOTA, ESPESOR 42 MM, PASAR A MAQUINADO</v>
      </c>
      <c r="L63" t="str">
        <f t="shared" ref="L63:L64" si="8">+"TODAS VAN A 2.10 MTS DE ALTURA, "&amp;D63&amp;", ESPESOR 42 MM, "&amp;"ENCHAPADAS POR 4 LADOS, LISAS"</f>
        <v>TODAS VAN A 2.10 MTS DE ALTURA, BELLOTA, ESPESOR 42 MM, ENCHAPADAS POR 4 LADOS, LISAS</v>
      </c>
    </row>
    <row r="64" spans="1:12" x14ac:dyDescent="0.3">
      <c r="A64" s="1" t="s">
        <v>16</v>
      </c>
      <c r="B64" t="s">
        <v>143</v>
      </c>
      <c r="C64" s="1" t="s">
        <v>15</v>
      </c>
      <c r="D64" s="1" t="s">
        <v>7</v>
      </c>
      <c r="E64" s="1">
        <v>241</v>
      </c>
      <c r="F64" s="1" t="s">
        <v>1</v>
      </c>
      <c r="G64" s="1" t="s">
        <v>0</v>
      </c>
      <c r="H64" s="1" t="s">
        <v>86</v>
      </c>
      <c r="I64" s="1" t="s">
        <v>92</v>
      </c>
      <c r="J64" s="1" t="s">
        <v>84</v>
      </c>
      <c r="K64" t="str">
        <f t="shared" si="7"/>
        <v>TODAS VAN A 2.10 MTS DE ALTURA, BELLOTA, ESPESOR 42 MM, PASAR A MAQUINADO</v>
      </c>
      <c r="L64" t="str">
        <f t="shared" si="8"/>
        <v>TODAS VAN A 2.10 MTS DE ALTURA, BELLOTA, ESPESOR 42 MM, ENCHAPADAS POR 4 LADOS, LISAS</v>
      </c>
    </row>
    <row r="65" spans="1:12" x14ac:dyDescent="0.3">
      <c r="A65" s="1" t="s">
        <v>26</v>
      </c>
      <c r="B65" t="s">
        <v>138</v>
      </c>
      <c r="C65" s="1" t="s">
        <v>25</v>
      </c>
      <c r="D65" s="1" t="s">
        <v>6</v>
      </c>
      <c r="E65" s="1">
        <v>216</v>
      </c>
      <c r="F65" s="1" t="s">
        <v>1</v>
      </c>
      <c r="G65" s="1" t="s">
        <v>0</v>
      </c>
      <c r="H65" s="1" t="s">
        <v>86</v>
      </c>
      <c r="I65" s="1" t="s">
        <v>92</v>
      </c>
      <c r="J65" s="1" t="s">
        <v>84</v>
      </c>
      <c r="K65" t="str">
        <f t="shared" ref="K65:K67" si="9">+"TODAS VAN A 2.25 MTS DE ALTURA, "&amp;D65&amp;", ESPESOR 42 MM, "&amp;"PASAR A MAQUINADO"</f>
        <v>TODAS VAN A 2.25 MTS DE ALTURA, GALES, ESPESOR 42 MM, PASAR A MAQUINADO</v>
      </c>
      <c r="L65" t="str">
        <f t="shared" ref="L65:L67" si="10">+"TODAS VAN A 2.25 MTS DE ALTURA, "&amp;D65&amp;", ESPESOR 42 MM, "&amp;"ENCHAPADAS POR 4 LADOS, LISAS"</f>
        <v>TODAS VAN A 2.25 MTS DE ALTURA, GALES, ESPESOR 42 MM, ENCHAPADAS POR 4 LADOS, LISAS</v>
      </c>
    </row>
    <row r="66" spans="1:12" x14ac:dyDescent="0.3">
      <c r="A66" s="1" t="s">
        <v>24</v>
      </c>
      <c r="B66" t="s">
        <v>139</v>
      </c>
      <c r="C66" s="1" t="s">
        <v>23</v>
      </c>
      <c r="D66" s="1" t="s">
        <v>6</v>
      </c>
      <c r="E66" s="1">
        <v>216</v>
      </c>
      <c r="F66" s="1" t="s">
        <v>1</v>
      </c>
      <c r="G66" s="1" t="s">
        <v>0</v>
      </c>
      <c r="H66" s="1" t="s">
        <v>86</v>
      </c>
      <c r="I66" s="1" t="s">
        <v>92</v>
      </c>
      <c r="J66" s="1" t="s">
        <v>84</v>
      </c>
      <c r="K66" t="str">
        <f t="shared" si="9"/>
        <v>TODAS VAN A 2.25 MTS DE ALTURA, GALES, ESPESOR 42 MM, PASAR A MAQUINADO</v>
      </c>
      <c r="L66" t="str">
        <f t="shared" si="10"/>
        <v>TODAS VAN A 2.25 MTS DE ALTURA, GALES, ESPESOR 42 MM, ENCHAPADAS POR 4 LADOS, LISAS</v>
      </c>
    </row>
    <row r="67" spans="1:12" x14ac:dyDescent="0.3">
      <c r="A67" s="1" t="s">
        <v>22</v>
      </c>
      <c r="B67" t="s">
        <v>140</v>
      </c>
      <c r="C67" s="1" t="s">
        <v>21</v>
      </c>
      <c r="D67" s="1" t="s">
        <v>6</v>
      </c>
      <c r="E67" s="1">
        <v>216</v>
      </c>
      <c r="F67" s="1" t="s">
        <v>1</v>
      </c>
      <c r="G67" s="1" t="s">
        <v>0</v>
      </c>
      <c r="H67" s="1" t="s">
        <v>86</v>
      </c>
      <c r="I67" s="1" t="s">
        <v>92</v>
      </c>
      <c r="J67" s="1" t="s">
        <v>84</v>
      </c>
      <c r="K67" t="str">
        <f t="shared" si="9"/>
        <v>TODAS VAN A 2.25 MTS DE ALTURA, GALES, ESPESOR 42 MM, PASAR A MAQUINADO</v>
      </c>
      <c r="L67" t="str">
        <f t="shared" si="10"/>
        <v>TODAS VAN A 2.25 MTS DE ALTURA, GALES, ESPESOR 42 MM, ENCHAPADAS POR 4 LADOS, LISAS</v>
      </c>
    </row>
    <row r="68" spans="1:12" x14ac:dyDescent="0.3">
      <c r="A68" s="1" t="s">
        <v>20</v>
      </c>
      <c r="B68" t="s">
        <v>141</v>
      </c>
      <c r="C68" s="1" t="s">
        <v>19</v>
      </c>
      <c r="D68" s="1" t="s">
        <v>6</v>
      </c>
      <c r="E68" s="1">
        <v>216</v>
      </c>
      <c r="F68" s="1" t="s">
        <v>1</v>
      </c>
      <c r="G68" s="1" t="s">
        <v>0</v>
      </c>
      <c r="H68" s="1" t="s">
        <v>86</v>
      </c>
      <c r="I68" s="1" t="s">
        <v>92</v>
      </c>
      <c r="J68" s="1" t="s">
        <v>84</v>
      </c>
      <c r="K68" t="str">
        <f t="shared" ref="K68:K70" si="11">+"TODAS VAN A 2.10 MTS DE ALTURA, "&amp;D68&amp;", ESPESOR 42 MM, "&amp;"PASAR A MAQUINADO"</f>
        <v>TODAS VAN A 2.10 MTS DE ALTURA, GALES, ESPESOR 42 MM, PASAR A MAQUINADO</v>
      </c>
      <c r="L68" t="str">
        <f t="shared" ref="L68:L70" si="12">+"TODAS VAN A 2.10 MTS DE ALTURA, "&amp;D68&amp;", ESPESOR 42 MM, "&amp;"ENCHAPADAS POR 4 LADOS, LISAS"</f>
        <v>TODAS VAN A 2.10 MTS DE ALTURA, GALES, ESPESOR 42 MM, ENCHAPADAS POR 4 LADOS, LISAS</v>
      </c>
    </row>
    <row r="69" spans="1:12" x14ac:dyDescent="0.3">
      <c r="A69" s="1" t="s">
        <v>18</v>
      </c>
      <c r="B69" t="s">
        <v>142</v>
      </c>
      <c r="C69" s="1" t="s">
        <v>17</v>
      </c>
      <c r="D69" s="1" t="s">
        <v>6</v>
      </c>
      <c r="E69" s="1">
        <v>216</v>
      </c>
      <c r="F69" s="1" t="s">
        <v>1</v>
      </c>
      <c r="G69" s="1" t="s">
        <v>0</v>
      </c>
      <c r="H69" s="1" t="s">
        <v>86</v>
      </c>
      <c r="I69" s="1" t="s">
        <v>92</v>
      </c>
      <c r="J69" s="1" t="s">
        <v>84</v>
      </c>
      <c r="K69" t="str">
        <f t="shared" si="11"/>
        <v>TODAS VAN A 2.10 MTS DE ALTURA, GALES, ESPESOR 42 MM, PASAR A MAQUINADO</v>
      </c>
      <c r="L69" t="str">
        <f t="shared" si="12"/>
        <v>TODAS VAN A 2.10 MTS DE ALTURA, GALES, ESPESOR 42 MM, ENCHAPADAS POR 4 LADOS, LISAS</v>
      </c>
    </row>
    <row r="70" spans="1:12" x14ac:dyDescent="0.3">
      <c r="A70" s="1" t="s">
        <v>16</v>
      </c>
      <c r="B70" t="s">
        <v>143</v>
      </c>
      <c r="C70" s="1" t="s">
        <v>15</v>
      </c>
      <c r="D70" s="1" t="s">
        <v>6</v>
      </c>
      <c r="E70" s="1">
        <v>216</v>
      </c>
      <c r="F70" s="1" t="s">
        <v>1</v>
      </c>
      <c r="G70" s="1" t="s">
        <v>0</v>
      </c>
      <c r="H70" s="1" t="s">
        <v>86</v>
      </c>
      <c r="I70" s="1" t="s">
        <v>92</v>
      </c>
      <c r="J70" s="1" t="s">
        <v>84</v>
      </c>
      <c r="K70" t="str">
        <f t="shared" si="11"/>
        <v>TODAS VAN A 2.10 MTS DE ALTURA, GALES, ESPESOR 42 MM, PASAR A MAQUINADO</v>
      </c>
      <c r="L70" t="str">
        <f t="shared" si="12"/>
        <v>TODAS VAN A 2.10 MTS DE ALTURA, GALES, ESPESOR 42 MM, ENCHAPADAS POR 4 LADOS, LISAS</v>
      </c>
    </row>
    <row r="71" spans="1:12" x14ac:dyDescent="0.3">
      <c r="A71" s="1" t="s">
        <v>26</v>
      </c>
      <c r="B71" t="s">
        <v>138</v>
      </c>
      <c r="C71" s="1" t="s">
        <v>25</v>
      </c>
      <c r="D71" s="1" t="s">
        <v>5</v>
      </c>
      <c r="E71" s="1">
        <v>239</v>
      </c>
      <c r="F71" s="1" t="s">
        <v>1</v>
      </c>
      <c r="G71" s="1" t="s">
        <v>0</v>
      </c>
      <c r="H71" s="1" t="s">
        <v>86</v>
      </c>
      <c r="I71" s="1" t="s">
        <v>92</v>
      </c>
      <c r="J71" s="1" t="s">
        <v>84</v>
      </c>
      <c r="K71" t="str">
        <f t="shared" ref="K71:K73" si="13">+"TODAS VAN A 2.25 MTS DE ALTURA, "&amp;D71&amp;", ESPESOR 42 MM, "&amp;"PASAR A MAQUINADO"</f>
        <v>TODAS VAN A 2.25 MTS DE ALTURA, NACAR, ESPESOR 42 MM, PASAR A MAQUINADO</v>
      </c>
      <c r="L71" t="str">
        <f t="shared" ref="L71:L73" si="14">+"TODAS VAN A 2.25 MTS DE ALTURA, "&amp;D71&amp;", ESPESOR 42 MM, "&amp;"ENCHAPADAS POR 4 LADOS, LISAS"</f>
        <v>TODAS VAN A 2.25 MTS DE ALTURA, NACAR, ESPESOR 42 MM, ENCHAPADAS POR 4 LADOS, LISAS</v>
      </c>
    </row>
    <row r="72" spans="1:12" x14ac:dyDescent="0.3">
      <c r="A72" s="1" t="s">
        <v>24</v>
      </c>
      <c r="B72" t="s">
        <v>139</v>
      </c>
      <c r="C72" s="1" t="s">
        <v>23</v>
      </c>
      <c r="D72" s="1" t="s">
        <v>5</v>
      </c>
      <c r="E72" s="1">
        <v>239</v>
      </c>
      <c r="F72" s="1" t="s">
        <v>1</v>
      </c>
      <c r="G72" s="1" t="s">
        <v>0</v>
      </c>
      <c r="H72" s="1" t="s">
        <v>86</v>
      </c>
      <c r="I72" s="1" t="s">
        <v>92</v>
      </c>
      <c r="J72" s="1" t="s">
        <v>84</v>
      </c>
      <c r="K72" t="str">
        <f t="shared" si="13"/>
        <v>TODAS VAN A 2.25 MTS DE ALTURA, NACAR, ESPESOR 42 MM, PASAR A MAQUINADO</v>
      </c>
      <c r="L72" t="str">
        <f t="shared" si="14"/>
        <v>TODAS VAN A 2.25 MTS DE ALTURA, NACAR, ESPESOR 42 MM, ENCHAPADAS POR 4 LADOS, LISAS</v>
      </c>
    </row>
    <row r="73" spans="1:12" x14ac:dyDescent="0.3">
      <c r="A73" s="1" t="s">
        <v>22</v>
      </c>
      <c r="B73" t="s">
        <v>140</v>
      </c>
      <c r="C73" s="1" t="s">
        <v>21</v>
      </c>
      <c r="D73" s="1" t="s">
        <v>5</v>
      </c>
      <c r="E73" s="1">
        <v>239</v>
      </c>
      <c r="F73" s="1" t="s">
        <v>1</v>
      </c>
      <c r="G73" s="1" t="s">
        <v>0</v>
      </c>
      <c r="H73" s="1" t="s">
        <v>86</v>
      </c>
      <c r="I73" s="1" t="s">
        <v>92</v>
      </c>
      <c r="J73" s="1" t="s">
        <v>84</v>
      </c>
      <c r="K73" t="str">
        <f t="shared" si="13"/>
        <v>TODAS VAN A 2.25 MTS DE ALTURA, NACAR, ESPESOR 42 MM, PASAR A MAQUINADO</v>
      </c>
      <c r="L73" t="str">
        <f t="shared" si="14"/>
        <v>TODAS VAN A 2.25 MTS DE ALTURA, NACAR, ESPESOR 42 MM, ENCHAPADAS POR 4 LADOS, LISAS</v>
      </c>
    </row>
    <row r="74" spans="1:12" x14ac:dyDescent="0.3">
      <c r="A74" s="1" t="s">
        <v>20</v>
      </c>
      <c r="B74" t="s">
        <v>141</v>
      </c>
      <c r="C74" s="1" t="s">
        <v>19</v>
      </c>
      <c r="D74" s="1" t="s">
        <v>5</v>
      </c>
      <c r="E74" s="1">
        <v>239</v>
      </c>
      <c r="F74" s="1" t="s">
        <v>1</v>
      </c>
      <c r="G74" s="1" t="s">
        <v>0</v>
      </c>
      <c r="H74" s="1" t="s">
        <v>86</v>
      </c>
      <c r="I74" s="1" t="s">
        <v>92</v>
      </c>
      <c r="J74" s="1" t="s">
        <v>84</v>
      </c>
      <c r="K74" t="str">
        <f t="shared" ref="K74:K76" si="15">+"TODAS VAN A 2.10 MTS DE ALTURA, "&amp;D74&amp;", ESPESOR 42 MM, "&amp;"PASAR A MAQUINADO"</f>
        <v>TODAS VAN A 2.10 MTS DE ALTURA, NACAR, ESPESOR 42 MM, PASAR A MAQUINADO</v>
      </c>
      <c r="L74" t="str">
        <f t="shared" ref="L74:L76" si="16">+"TODAS VAN A 2.10 MTS DE ALTURA, "&amp;D74&amp;", ESPESOR 42 MM, "&amp;"ENCHAPADAS POR 4 LADOS, LISAS"</f>
        <v>TODAS VAN A 2.10 MTS DE ALTURA, NACAR, ESPESOR 42 MM, ENCHAPADAS POR 4 LADOS, LISAS</v>
      </c>
    </row>
    <row r="75" spans="1:12" x14ac:dyDescent="0.3">
      <c r="A75" s="1" t="s">
        <v>18</v>
      </c>
      <c r="B75" t="s">
        <v>142</v>
      </c>
      <c r="C75" s="1" t="s">
        <v>17</v>
      </c>
      <c r="D75" s="1" t="s">
        <v>5</v>
      </c>
      <c r="E75" s="1">
        <v>239</v>
      </c>
      <c r="F75" s="1" t="s">
        <v>1</v>
      </c>
      <c r="G75" s="1" t="s">
        <v>0</v>
      </c>
      <c r="H75" s="1" t="s">
        <v>86</v>
      </c>
      <c r="I75" s="1" t="s">
        <v>92</v>
      </c>
      <c r="J75" s="1" t="s">
        <v>84</v>
      </c>
      <c r="K75" t="str">
        <f t="shared" si="15"/>
        <v>TODAS VAN A 2.10 MTS DE ALTURA, NACAR, ESPESOR 42 MM, PASAR A MAQUINADO</v>
      </c>
      <c r="L75" t="str">
        <f t="shared" si="16"/>
        <v>TODAS VAN A 2.10 MTS DE ALTURA, NACAR, ESPESOR 42 MM, ENCHAPADAS POR 4 LADOS, LISAS</v>
      </c>
    </row>
    <row r="76" spans="1:12" x14ac:dyDescent="0.3">
      <c r="A76" s="1" t="s">
        <v>16</v>
      </c>
      <c r="B76" t="s">
        <v>143</v>
      </c>
      <c r="C76" s="1" t="s">
        <v>15</v>
      </c>
      <c r="D76" s="1" t="s">
        <v>5</v>
      </c>
      <c r="E76" s="1">
        <v>239</v>
      </c>
      <c r="F76" s="1" t="s">
        <v>1</v>
      </c>
      <c r="G76" s="1" t="s">
        <v>0</v>
      </c>
      <c r="H76" s="1" t="s">
        <v>86</v>
      </c>
      <c r="I76" s="1" t="s">
        <v>92</v>
      </c>
      <c r="J76" s="1" t="s">
        <v>84</v>
      </c>
      <c r="K76" t="str">
        <f t="shared" si="15"/>
        <v>TODAS VAN A 2.10 MTS DE ALTURA, NACAR, ESPESOR 42 MM, PASAR A MAQUINADO</v>
      </c>
      <c r="L76" t="str">
        <f t="shared" si="16"/>
        <v>TODAS VAN A 2.10 MTS DE ALTURA, NACAR, ESPESOR 42 MM, ENCHAPADAS POR 4 LADOS, LISAS</v>
      </c>
    </row>
    <row r="77" spans="1:12" x14ac:dyDescent="0.3">
      <c r="A77" s="1" t="s">
        <v>26</v>
      </c>
      <c r="B77" t="s">
        <v>138</v>
      </c>
      <c r="C77" s="1" t="s">
        <v>25</v>
      </c>
      <c r="D77" s="1" t="s">
        <v>2</v>
      </c>
      <c r="E77" s="1">
        <v>163</v>
      </c>
      <c r="F77" s="1" t="s">
        <v>1</v>
      </c>
      <c r="G77" s="1" t="s">
        <v>0</v>
      </c>
      <c r="H77" s="1" t="s">
        <v>86</v>
      </c>
      <c r="I77" s="1" t="s">
        <v>92</v>
      </c>
      <c r="J77" s="1" t="s">
        <v>84</v>
      </c>
      <c r="K77" t="str">
        <f t="shared" ref="K77:K79" si="17">+"TODAS VAN A 2.25 MTS DE ALTURA, "&amp;D77&amp;", ESPESOR 42 MM, "&amp;"PASAR A MAQUINADO"</f>
        <v>TODAS VAN A 2.25 MTS DE ALTURA, ROVERE, ESPESOR 42 MM, PASAR A MAQUINADO</v>
      </c>
      <c r="L77" t="str">
        <f t="shared" ref="L77:L79" si="18">+"TODAS VAN A 2.25 MTS DE ALTURA, "&amp;D77&amp;", ESPESOR 42 MM, "&amp;"ENCHAPADAS POR 4 LADOS, LISAS"</f>
        <v>TODAS VAN A 2.25 MTS DE ALTURA, ROVERE, ESPESOR 42 MM, ENCHAPADAS POR 4 LADOS, LISAS</v>
      </c>
    </row>
    <row r="78" spans="1:12" x14ac:dyDescent="0.3">
      <c r="A78" s="1" t="s">
        <v>24</v>
      </c>
      <c r="B78" t="s">
        <v>139</v>
      </c>
      <c r="C78" s="1" t="s">
        <v>23</v>
      </c>
      <c r="D78" s="1" t="s">
        <v>2</v>
      </c>
      <c r="E78" s="1">
        <v>163</v>
      </c>
      <c r="F78" s="1" t="s">
        <v>1</v>
      </c>
      <c r="G78" s="1" t="s">
        <v>0</v>
      </c>
      <c r="H78" s="1" t="s">
        <v>86</v>
      </c>
      <c r="I78" s="1" t="s">
        <v>92</v>
      </c>
      <c r="J78" s="1" t="s">
        <v>84</v>
      </c>
      <c r="K78" t="str">
        <f t="shared" si="17"/>
        <v>TODAS VAN A 2.25 MTS DE ALTURA, ROVERE, ESPESOR 42 MM, PASAR A MAQUINADO</v>
      </c>
      <c r="L78" t="str">
        <f t="shared" si="18"/>
        <v>TODAS VAN A 2.25 MTS DE ALTURA, ROVERE, ESPESOR 42 MM, ENCHAPADAS POR 4 LADOS, LISAS</v>
      </c>
    </row>
    <row r="79" spans="1:12" x14ac:dyDescent="0.3">
      <c r="A79" s="1" t="s">
        <v>22</v>
      </c>
      <c r="B79" t="s">
        <v>140</v>
      </c>
      <c r="C79" s="1" t="s">
        <v>21</v>
      </c>
      <c r="D79" s="1" t="s">
        <v>2</v>
      </c>
      <c r="E79" s="1">
        <v>163</v>
      </c>
      <c r="F79" s="1" t="s">
        <v>1</v>
      </c>
      <c r="G79" s="1" t="s">
        <v>0</v>
      </c>
      <c r="H79" s="1" t="s">
        <v>86</v>
      </c>
      <c r="I79" s="1" t="s">
        <v>92</v>
      </c>
      <c r="J79" s="1" t="s">
        <v>84</v>
      </c>
      <c r="K79" t="str">
        <f t="shared" si="17"/>
        <v>TODAS VAN A 2.25 MTS DE ALTURA, ROVERE, ESPESOR 42 MM, PASAR A MAQUINADO</v>
      </c>
      <c r="L79" t="str">
        <f t="shared" si="18"/>
        <v>TODAS VAN A 2.25 MTS DE ALTURA, ROVERE, ESPESOR 42 MM, ENCHAPADAS POR 4 LADOS, LISAS</v>
      </c>
    </row>
    <row r="80" spans="1:12" x14ac:dyDescent="0.3">
      <c r="A80" s="1" t="s">
        <v>20</v>
      </c>
      <c r="B80" t="s">
        <v>141</v>
      </c>
      <c r="C80" s="1" t="s">
        <v>19</v>
      </c>
      <c r="D80" s="1" t="s">
        <v>2</v>
      </c>
      <c r="E80" s="1">
        <v>163</v>
      </c>
      <c r="F80" s="1" t="s">
        <v>1</v>
      </c>
      <c r="G80" s="1" t="s">
        <v>0</v>
      </c>
      <c r="H80" s="1" t="s">
        <v>86</v>
      </c>
      <c r="I80" s="1" t="s">
        <v>92</v>
      </c>
      <c r="J80" s="1" t="s">
        <v>84</v>
      </c>
      <c r="K80" t="str">
        <f t="shared" ref="K80:K82" si="19">+"TODAS VAN A 2.10 MTS DE ALTURA, "&amp;D80&amp;", ESPESOR 42 MM, "&amp;"PASAR A MAQUINADO"</f>
        <v>TODAS VAN A 2.10 MTS DE ALTURA, ROVERE, ESPESOR 42 MM, PASAR A MAQUINADO</v>
      </c>
      <c r="L80" t="str">
        <f t="shared" ref="L80:L82" si="20">+"TODAS VAN A 2.10 MTS DE ALTURA, "&amp;D80&amp;", ESPESOR 42 MM, "&amp;"ENCHAPADAS POR 4 LADOS, LISAS"</f>
        <v>TODAS VAN A 2.10 MTS DE ALTURA, ROVERE, ESPESOR 42 MM, ENCHAPADAS POR 4 LADOS, LISAS</v>
      </c>
    </row>
    <row r="81" spans="1:12" x14ac:dyDescent="0.3">
      <c r="A81" s="1" t="s">
        <v>18</v>
      </c>
      <c r="B81" t="s">
        <v>142</v>
      </c>
      <c r="C81" s="1" t="s">
        <v>17</v>
      </c>
      <c r="D81" s="1" t="s">
        <v>2</v>
      </c>
      <c r="E81" s="1">
        <v>163</v>
      </c>
      <c r="F81" s="1" t="s">
        <v>1</v>
      </c>
      <c r="G81" s="1" t="s">
        <v>0</v>
      </c>
      <c r="H81" s="1" t="s">
        <v>86</v>
      </c>
      <c r="I81" s="1" t="s">
        <v>92</v>
      </c>
      <c r="J81" s="1" t="s">
        <v>84</v>
      </c>
      <c r="K81" t="str">
        <f t="shared" si="19"/>
        <v>TODAS VAN A 2.10 MTS DE ALTURA, ROVERE, ESPESOR 42 MM, PASAR A MAQUINADO</v>
      </c>
      <c r="L81" t="str">
        <f t="shared" si="20"/>
        <v>TODAS VAN A 2.10 MTS DE ALTURA, ROVERE, ESPESOR 42 MM, ENCHAPADAS POR 4 LADOS, LISAS</v>
      </c>
    </row>
    <row r="82" spans="1:12" x14ac:dyDescent="0.3">
      <c r="A82" s="1" t="s">
        <v>16</v>
      </c>
      <c r="B82" t="s">
        <v>143</v>
      </c>
      <c r="C82" s="1" t="s">
        <v>15</v>
      </c>
      <c r="D82" s="1" t="s">
        <v>2</v>
      </c>
      <c r="E82" s="1">
        <v>163</v>
      </c>
      <c r="F82" s="1" t="s">
        <v>1</v>
      </c>
      <c r="G82" s="1" t="s">
        <v>0</v>
      </c>
      <c r="H82" s="1" t="s">
        <v>86</v>
      </c>
      <c r="I82" s="1" t="s">
        <v>92</v>
      </c>
      <c r="J82" s="1" t="s">
        <v>84</v>
      </c>
      <c r="K82" t="str">
        <f t="shared" si="19"/>
        <v>TODAS VAN A 2.10 MTS DE ALTURA, ROVERE, ESPESOR 42 MM, PASAR A MAQUINADO</v>
      </c>
      <c r="L82" t="str">
        <f t="shared" si="20"/>
        <v>TODAS VAN A 2.10 MTS DE ALTURA, ROVERE, ESPESOR 42 MM, ENCHAPADAS POR 4 LADOS, LISAS</v>
      </c>
    </row>
    <row r="83" spans="1:12" x14ac:dyDescent="0.3">
      <c r="A83" s="1" t="s">
        <v>14</v>
      </c>
      <c r="B83" t="s">
        <v>146</v>
      </c>
      <c r="C83" s="1" t="s">
        <v>13</v>
      </c>
      <c r="D83" s="1" t="s">
        <v>8</v>
      </c>
      <c r="E83" s="1">
        <v>157</v>
      </c>
      <c r="F83" s="1" t="s">
        <v>1</v>
      </c>
      <c r="G83" s="1" t="s">
        <v>0</v>
      </c>
      <c r="H83" s="1" t="s">
        <v>86</v>
      </c>
      <c r="I83" s="1" t="s">
        <v>92</v>
      </c>
      <c r="J83" s="1" t="s">
        <v>84</v>
      </c>
      <c r="K83" t="str">
        <f>+"TODAS VAN A 2.35 MTS DE ALTURA, "&amp;D83&amp;", ESPESOR 42 MM, "&amp;"PASAR A MAQUINADO"</f>
        <v>TODAS VAN A 2.35 MTS DE ALTURA, ARTIKO, ESPESOR 42 MM, PASAR A MAQUINADO</v>
      </c>
      <c r="L83" t="str">
        <f>+"TODAS VAN A 2.35 MTS DE ALTURA, "&amp;D83&amp;", ESPESOR 42 MM, "&amp;"ENCHAPADAS POR 4 LADOS, LISAS"</f>
        <v>TODAS VAN A 2.35 MTS DE ALTURA, ARTIKO, ESPESOR 42 MM, ENCHAPADAS POR 4 LADOS, LISAS</v>
      </c>
    </row>
    <row r="84" spans="1:12" x14ac:dyDescent="0.3">
      <c r="A84" s="1" t="s">
        <v>12</v>
      </c>
      <c r="B84" t="s">
        <v>147</v>
      </c>
      <c r="C84" s="1" t="s">
        <v>11</v>
      </c>
      <c r="D84" s="1" t="s">
        <v>8</v>
      </c>
      <c r="E84" s="1">
        <v>157</v>
      </c>
      <c r="F84" s="1" t="s">
        <v>1</v>
      </c>
      <c r="G84" s="1" t="s">
        <v>0</v>
      </c>
      <c r="H84" s="1" t="s">
        <v>86</v>
      </c>
      <c r="I84" s="1" t="s">
        <v>92</v>
      </c>
      <c r="J84" s="1" t="s">
        <v>84</v>
      </c>
      <c r="K84" t="str">
        <f t="shared" ref="K84:K88" si="21">+"TODAS VAN A 2.35 MTS DE ALTURA, "&amp;D84&amp;", ESPESOR 42 MM, "&amp;"PASAR A MAQUINADO"</f>
        <v>TODAS VAN A 2.35 MTS DE ALTURA, ARTIKO, ESPESOR 42 MM, PASAR A MAQUINADO</v>
      </c>
      <c r="L84" t="str">
        <f t="shared" ref="L84:L88" si="22">+"TODAS VAN A 2.35 MTS DE ALTURA, "&amp;D84&amp;", ESPESOR 42 MM, "&amp;"ENCHAPADAS POR 4 LADOS, LISAS"</f>
        <v>TODAS VAN A 2.35 MTS DE ALTURA, ARTIKO, ESPESOR 42 MM, ENCHAPADAS POR 4 LADOS, LISAS</v>
      </c>
    </row>
    <row r="85" spans="1:12" x14ac:dyDescent="0.3">
      <c r="A85" s="1" t="s">
        <v>10</v>
      </c>
      <c r="B85" t="s">
        <v>148</v>
      </c>
      <c r="C85" s="1" t="s">
        <v>9</v>
      </c>
      <c r="D85" s="1" t="s">
        <v>8</v>
      </c>
      <c r="E85" s="1">
        <v>157</v>
      </c>
      <c r="F85" s="1" t="s">
        <v>1</v>
      </c>
      <c r="G85" s="1" t="s">
        <v>0</v>
      </c>
      <c r="H85" s="1" t="s">
        <v>86</v>
      </c>
      <c r="I85" s="1" t="s">
        <v>92</v>
      </c>
      <c r="J85" s="1" t="s">
        <v>84</v>
      </c>
      <c r="K85" t="str">
        <f t="shared" si="21"/>
        <v>TODAS VAN A 2.35 MTS DE ALTURA, ARTIKO, ESPESOR 42 MM, PASAR A MAQUINADO</v>
      </c>
      <c r="L85" t="str">
        <f t="shared" si="22"/>
        <v>TODAS VAN A 2.35 MTS DE ALTURA, ARTIKO, ESPESOR 42 MM, ENCHAPADAS POR 4 LADOS, LISAS</v>
      </c>
    </row>
    <row r="86" spans="1:12" x14ac:dyDescent="0.3">
      <c r="A86" s="1" t="s">
        <v>14</v>
      </c>
      <c r="B86" t="s">
        <v>146</v>
      </c>
      <c r="C86" s="1" t="s">
        <v>13</v>
      </c>
      <c r="D86" s="1" t="s">
        <v>6</v>
      </c>
      <c r="E86" s="1">
        <v>216</v>
      </c>
      <c r="F86" s="1" t="s">
        <v>1</v>
      </c>
      <c r="G86" s="1" t="s">
        <v>0</v>
      </c>
      <c r="H86" s="1" t="s">
        <v>86</v>
      </c>
      <c r="I86" s="1" t="s">
        <v>92</v>
      </c>
      <c r="J86" s="1" t="s">
        <v>84</v>
      </c>
      <c r="K86" t="str">
        <f t="shared" si="21"/>
        <v>TODAS VAN A 2.35 MTS DE ALTURA, GALES, ESPESOR 42 MM, PASAR A MAQUINADO</v>
      </c>
      <c r="L86" t="str">
        <f t="shared" si="22"/>
        <v>TODAS VAN A 2.35 MTS DE ALTURA, GALES, ESPESOR 42 MM, ENCHAPADAS POR 4 LADOS, LISAS</v>
      </c>
    </row>
    <row r="87" spans="1:12" x14ac:dyDescent="0.3">
      <c r="A87" s="1" t="s">
        <v>12</v>
      </c>
      <c r="B87" t="s">
        <v>147</v>
      </c>
      <c r="C87" s="1" t="s">
        <v>11</v>
      </c>
      <c r="D87" s="1" t="s">
        <v>6</v>
      </c>
      <c r="E87" s="1">
        <v>216</v>
      </c>
      <c r="F87" s="1" t="s">
        <v>1</v>
      </c>
      <c r="G87" s="1" t="s">
        <v>0</v>
      </c>
      <c r="H87" s="1" t="s">
        <v>86</v>
      </c>
      <c r="I87" s="1" t="s">
        <v>92</v>
      </c>
      <c r="J87" s="1" t="s">
        <v>84</v>
      </c>
      <c r="K87" t="str">
        <f t="shared" si="21"/>
        <v>TODAS VAN A 2.35 MTS DE ALTURA, GALES, ESPESOR 42 MM, PASAR A MAQUINADO</v>
      </c>
      <c r="L87" t="str">
        <f t="shared" si="22"/>
        <v>TODAS VAN A 2.35 MTS DE ALTURA, GALES, ESPESOR 42 MM, ENCHAPADAS POR 4 LADOS, LISAS</v>
      </c>
    </row>
    <row r="88" spans="1:12" x14ac:dyDescent="0.3">
      <c r="A88" s="1" t="s">
        <v>10</v>
      </c>
      <c r="B88" t="s">
        <v>148</v>
      </c>
      <c r="C88" s="1" t="s">
        <v>9</v>
      </c>
      <c r="D88" s="1" t="s">
        <v>6</v>
      </c>
      <c r="E88" s="1">
        <v>216</v>
      </c>
      <c r="F88" s="1" t="s">
        <v>1</v>
      </c>
      <c r="G88" s="1" t="s">
        <v>0</v>
      </c>
      <c r="H88" s="1" t="s">
        <v>86</v>
      </c>
      <c r="I88" s="1" t="s">
        <v>92</v>
      </c>
      <c r="J88" s="1" t="s">
        <v>84</v>
      </c>
      <c r="K88" t="str">
        <f t="shared" si="21"/>
        <v>TODAS VAN A 2.35 MTS DE ALTURA, GALES, ESPESOR 42 MM, PASAR A MAQUINADO</v>
      </c>
      <c r="L88" t="str">
        <f t="shared" si="22"/>
        <v>TODAS VAN A 2.35 MTS DE ALTURA, GALES, ESPESOR 42 MM, ENCHAPADAS POR 4 LADOS, LISAS</v>
      </c>
    </row>
    <row r="89" spans="1:12" x14ac:dyDescent="0.3">
      <c r="A89" s="1" t="s">
        <v>4</v>
      </c>
      <c r="C89" s="1" t="s">
        <v>3</v>
      </c>
      <c r="D89" s="1" t="s">
        <v>8</v>
      </c>
      <c r="E89" s="1">
        <v>157</v>
      </c>
      <c r="F89" s="1" t="s">
        <v>1</v>
      </c>
      <c r="G89" s="1" t="s">
        <v>0</v>
      </c>
      <c r="H89" s="1" t="s">
        <v>85</v>
      </c>
      <c r="I89" s="1"/>
      <c r="J89" s="1" t="s">
        <v>149</v>
      </c>
      <c r="K89" s="1" t="str">
        <f>+"MARCOS "&amp;"8*240 "&amp;D89</f>
        <v>MARCOS 8*240 ARTIKO</v>
      </c>
    </row>
    <row r="90" spans="1:12" x14ac:dyDescent="0.3">
      <c r="A90" s="1" t="s">
        <v>4</v>
      </c>
      <c r="C90" s="1" t="s">
        <v>3</v>
      </c>
      <c r="D90" s="1" t="s">
        <v>7</v>
      </c>
      <c r="E90" s="1">
        <v>241</v>
      </c>
      <c r="F90" s="1" t="s">
        <v>1</v>
      </c>
      <c r="G90" s="1" t="s">
        <v>0</v>
      </c>
      <c r="H90" s="1" t="s">
        <v>85</v>
      </c>
      <c r="I90" s="1"/>
      <c r="J90" s="1" t="s">
        <v>149</v>
      </c>
      <c r="K90" s="1" t="str">
        <f t="shared" ref="K90:K94" si="23">+"MARCOS "&amp;"8*240 "&amp;D90</f>
        <v>MARCOS 8*240 BELLOTA</v>
      </c>
    </row>
    <row r="91" spans="1:12" x14ac:dyDescent="0.3">
      <c r="A91" s="1" t="s">
        <v>4</v>
      </c>
      <c r="C91" s="1" t="s">
        <v>3</v>
      </c>
      <c r="D91" s="1" t="s">
        <v>6</v>
      </c>
      <c r="E91" s="1">
        <v>216</v>
      </c>
      <c r="F91" s="1" t="s">
        <v>1</v>
      </c>
      <c r="G91" s="1" t="s">
        <v>0</v>
      </c>
      <c r="H91" s="1" t="s">
        <v>85</v>
      </c>
      <c r="I91" s="1"/>
      <c r="J91" s="1" t="s">
        <v>149</v>
      </c>
      <c r="K91" s="1" t="str">
        <f t="shared" si="23"/>
        <v>MARCOS 8*240 GALES</v>
      </c>
    </row>
    <row r="92" spans="1:12" x14ac:dyDescent="0.3">
      <c r="A92" s="1" t="s">
        <v>4</v>
      </c>
      <c r="C92" s="1" t="s">
        <v>3</v>
      </c>
      <c r="D92" s="1" t="s">
        <v>5</v>
      </c>
      <c r="E92" s="1">
        <v>239</v>
      </c>
      <c r="F92" s="1" t="s">
        <v>1</v>
      </c>
      <c r="G92" s="1" t="s">
        <v>0</v>
      </c>
      <c r="H92" s="1" t="s">
        <v>85</v>
      </c>
      <c r="I92" s="1"/>
      <c r="J92" s="1" t="s">
        <v>149</v>
      </c>
      <c r="K92" s="1" t="str">
        <f t="shared" si="23"/>
        <v>MARCOS 8*240 NACAR</v>
      </c>
    </row>
    <row r="93" spans="1:12" x14ac:dyDescent="0.3">
      <c r="A93" s="1" t="s">
        <v>4</v>
      </c>
      <c r="C93" s="1" t="s">
        <v>3</v>
      </c>
      <c r="D93" s="1" t="s">
        <v>2</v>
      </c>
      <c r="E93" s="1">
        <v>163</v>
      </c>
      <c r="F93" s="1" t="s">
        <v>1</v>
      </c>
      <c r="G93" s="1" t="s">
        <v>0</v>
      </c>
      <c r="H93" s="1" t="s">
        <v>85</v>
      </c>
      <c r="I93" s="1"/>
      <c r="J93" s="1" t="s">
        <v>149</v>
      </c>
      <c r="K93" s="1" t="str">
        <f t="shared" si="23"/>
        <v>MARCOS 8*240 ROVERE</v>
      </c>
    </row>
    <row r="94" spans="1:12" x14ac:dyDescent="0.3">
      <c r="A94" t="s">
        <v>156</v>
      </c>
      <c r="C94" s="1" t="s">
        <v>157</v>
      </c>
      <c r="D94" t="s">
        <v>31</v>
      </c>
      <c r="E94" s="1">
        <v>181</v>
      </c>
      <c r="F94" s="1" t="s">
        <v>1</v>
      </c>
      <c r="G94" s="1" t="s">
        <v>0</v>
      </c>
      <c r="H94" s="1" t="s">
        <v>85</v>
      </c>
      <c r="J94" s="1" t="s">
        <v>149</v>
      </c>
      <c r="K94" s="1" t="str">
        <f t="shared" si="23"/>
        <v>MARCOS 8*240 HUMO RUS</v>
      </c>
    </row>
  </sheetData>
  <autoFilter ref="A1:G93" xr:uid="{B03339B3-7649-4CB0-879B-0B75AA7EEAE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Referencias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Interdoors</dc:creator>
  <cp:lastModifiedBy>Licencias Interdoors</cp:lastModifiedBy>
  <dcterms:created xsi:type="dcterms:W3CDTF">2026-05-11T13:17:57Z</dcterms:created>
  <dcterms:modified xsi:type="dcterms:W3CDTF">2026-05-11T16:57:10Z</dcterms:modified>
</cp:coreProperties>
</file>